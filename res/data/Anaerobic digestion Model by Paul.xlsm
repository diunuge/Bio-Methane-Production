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0.xml" ContentType="application/vnd.openxmlformats-officedocument.drawingml.chart+xml"/>
  <Override PartName="/xl/drawings/drawing16.xml" ContentType="application/vnd.openxmlformats-officedocument.drawingml.chartshapes+xml"/>
  <Override PartName="/xl/charts/chart11.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2.xml" ContentType="application/vnd.openxmlformats-officedocument.drawingml.chart+xml"/>
  <Override PartName="/xl/drawings/drawing19.xml" ContentType="application/vnd.openxmlformats-officedocument.drawingml.chartshapes+xml"/>
  <Override PartName="/xl/charts/chart13.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4.xml" ContentType="application/vnd.openxmlformats-officedocument.drawingml.chart+xml"/>
  <Override PartName="/xl/drawings/drawing22.xml" ContentType="application/vnd.openxmlformats-officedocument.drawingml.chartshapes+xml"/>
  <Override PartName="/xl/charts/chart15.xml" ContentType="application/vnd.openxmlformats-officedocument.drawingml.chart+xml"/>
  <Override PartName="/xl/drawings/drawing2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D:\M.Sc Subject\Energy Technology\Assignments\"/>
    </mc:Choice>
  </mc:AlternateContent>
  <bookViews>
    <workbookView xWindow="0" yWindow="0" windowWidth="20490" windowHeight="7530" tabRatio="748" activeTab="1"/>
  </bookViews>
  <sheets>
    <sheet name="Instructions" sheetId="1" r:id="rId1"/>
    <sheet name="Calculator" sheetId="2" r:id="rId2"/>
    <sheet name="ResponseSurfaceVSRT" sheetId="3" r:id="rId3"/>
    <sheet name="ResponseSurfaceTempRT" sheetId="4" r:id="rId4"/>
    <sheet name="Temp&amp;RT" sheetId="5" r:id="rId5"/>
    <sheet name="VS&amp;RT" sheetId="6" r:id="rId6"/>
    <sheet name="Temp&amp;VS" sheetId="7" r:id="rId7"/>
    <sheet name="RT&amp;Temp" sheetId="8" r:id="rId8"/>
    <sheet name="CFST" sheetId="9" r:id="rId9"/>
    <sheet name="PlugFlow" sheetId="10" r:id="rId10"/>
    <sheet name="Costing (Temp &amp; RT)" sheetId="11" r:id="rId11"/>
    <sheet name="Energy Costs" sheetId="12" r:id="rId12"/>
  </sheets>
  <definedNames>
    <definedName name="HTML_CodePage" hidden="1">1252</definedName>
    <definedName name="HTML_Control" localSheetId="3" hidden="1">{"'Instructions'!$A$1:$A$3","'Temp&amp;RT'!$A$1:$I$61","'VS&amp;RT'!$A$1:$I$62","'Temp&amp;VS'!$A$1:$I$62","'RT&amp;Temp'!$A$1:$I$62","'Digester'!$A$1:$E$42"}</definedName>
    <definedName name="HTML_Control" localSheetId="2"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Calculator!$A$1:$C$43</definedName>
    <definedName name="_xlnm.Print_Area" localSheetId="8">CFST!$A$1:$D$42</definedName>
  </definedNames>
  <calcPr calcId="162913"/>
</workbook>
</file>

<file path=xl/calcChain.xml><?xml version="1.0" encoding="utf-8"?>
<calcChain xmlns="http://schemas.openxmlformats.org/spreadsheetml/2006/main">
  <c r="B37" i="2" l="1"/>
  <c r="B39" i="2"/>
  <c r="B12" i="2"/>
  <c r="B11" i="2"/>
  <c r="B10" i="2"/>
  <c r="B6" i="2"/>
  <c r="B7" i="2" s="1"/>
  <c r="B18" i="2" s="1"/>
  <c r="U15" i="2"/>
  <c r="H34" i="3" s="1"/>
  <c r="C7" i="12"/>
  <c r="A8" i="12"/>
  <c r="C34" i="5"/>
  <c r="C3" i="3" s="1"/>
  <c r="F25" i="5"/>
  <c r="F25" i="8" s="1"/>
  <c r="F6" i="11"/>
  <c r="G6" i="11"/>
  <c r="H6" i="11"/>
  <c r="B15" i="10"/>
  <c r="B21" i="10" s="1"/>
  <c r="B18" i="10"/>
  <c r="B17" i="10" s="1"/>
  <c r="B23" i="10"/>
  <c r="E4" i="9"/>
  <c r="G25" i="8"/>
  <c r="H25" i="5"/>
  <c r="H25" i="8" s="1"/>
  <c r="F25" i="7"/>
  <c r="G25" i="7"/>
  <c r="H25" i="7"/>
  <c r="F25" i="6"/>
  <c r="G25" i="6"/>
  <c r="H34" i="4"/>
  <c r="J34" i="4"/>
  <c r="B53" i="4"/>
  <c r="J34" i="3"/>
  <c r="J53" i="3"/>
  <c r="B4" i="2"/>
  <c r="O17" i="2"/>
  <c r="P17" i="2"/>
  <c r="O18" i="2"/>
  <c r="P18" i="2"/>
  <c r="O19" i="2"/>
  <c r="P19" i="2"/>
  <c r="O20" i="2"/>
  <c r="P20" i="2"/>
  <c r="O21" i="2"/>
  <c r="P21" i="2"/>
  <c r="O22" i="2"/>
  <c r="P22" i="2"/>
  <c r="O23" i="2"/>
  <c r="P23" i="2"/>
  <c r="O24" i="2"/>
  <c r="P24" i="2"/>
  <c r="O25" i="2"/>
  <c r="P25" i="2"/>
  <c r="O26" i="2"/>
  <c r="P26" i="2"/>
  <c r="O27" i="2"/>
  <c r="P27" i="2"/>
  <c r="I28" i="2"/>
  <c r="J28" i="2"/>
  <c r="K28" i="2"/>
  <c r="L28" i="2"/>
  <c r="M28" i="2"/>
  <c r="O28" i="2"/>
  <c r="P28" i="2"/>
  <c r="B19" i="2" l="1"/>
  <c r="C34" i="7"/>
  <c r="E34" i="7" s="1"/>
  <c r="C33" i="5"/>
  <c r="A12" i="11" s="1"/>
  <c r="A13" i="11"/>
  <c r="C35" i="5"/>
  <c r="C44" i="5" s="1"/>
  <c r="H25" i="6"/>
  <c r="E34" i="5"/>
  <c r="B40" i="2" s="1"/>
  <c r="C43" i="5"/>
  <c r="B20" i="2"/>
  <c r="B15" i="2"/>
  <c r="B38" i="2" s="1"/>
  <c r="B16" i="2"/>
  <c r="B17" i="2"/>
  <c r="A14" i="11" l="1"/>
  <c r="C42" i="5"/>
  <c r="C36" i="5"/>
  <c r="C35" i="7"/>
  <c r="E35" i="7" s="1"/>
  <c r="E35" i="5"/>
  <c r="C32" i="5"/>
  <c r="C33" i="7"/>
  <c r="E33" i="7" s="1"/>
  <c r="E33" i="5"/>
  <c r="A21" i="11"/>
  <c r="C51" i="5"/>
  <c r="E42" i="5"/>
  <c r="F41" i="4"/>
  <c r="F53" i="4" s="1"/>
  <c r="C42" i="7"/>
  <c r="E42" i="7" s="1"/>
  <c r="F3" i="8"/>
  <c r="D34" i="8" s="1"/>
  <c r="B7" i="10"/>
  <c r="F3" i="7"/>
  <c r="F3" i="5"/>
  <c r="F3" i="6"/>
  <c r="A23" i="11"/>
  <c r="E44" i="5"/>
  <c r="C53" i="5"/>
  <c r="C44" i="7"/>
  <c r="E44" i="7" s="1"/>
  <c r="H41" i="4"/>
  <c r="H53" i="4" s="1"/>
  <c r="B43" i="2"/>
  <c r="B3" i="7" s="1"/>
  <c r="A22" i="11"/>
  <c r="G41" i="4"/>
  <c r="G53" i="4" s="1"/>
  <c r="C43" i="7"/>
  <c r="E43" i="7" s="1"/>
  <c r="E43" i="5"/>
  <c r="C52" i="5"/>
  <c r="B41" i="2"/>
  <c r="B5" i="9" s="1"/>
  <c r="B3" i="10"/>
  <c r="C41" i="5" l="1"/>
  <c r="C32" i="7"/>
  <c r="E32" i="7" s="1"/>
  <c r="C31" i="5"/>
  <c r="A11" i="11"/>
  <c r="E32" i="5"/>
  <c r="C45" i="5"/>
  <c r="E36" i="5"/>
  <c r="A15" i="11"/>
  <c r="C36" i="7"/>
  <c r="E36" i="7" s="1"/>
  <c r="C37" i="5"/>
  <c r="B14" i="10"/>
  <c r="B16" i="10" s="1"/>
  <c r="B3" i="5"/>
  <c r="B3" i="8" s="1"/>
  <c r="B3" i="6"/>
  <c r="B34" i="6" s="1"/>
  <c r="F34" i="6" s="1"/>
  <c r="A31" i="11"/>
  <c r="E52" i="5"/>
  <c r="C52" i="7"/>
  <c r="E52" i="7" s="1"/>
  <c r="D43" i="8"/>
  <c r="D39" i="6"/>
  <c r="D40" i="6" s="1"/>
  <c r="D41" i="6" s="1"/>
  <c r="D42" i="6" s="1"/>
  <c r="D43" i="6" s="1"/>
  <c r="D44" i="6" s="1"/>
  <c r="D45" i="6" s="1"/>
  <c r="D46" i="6" s="1"/>
  <c r="D47" i="6" s="1"/>
  <c r="D30" i="7"/>
  <c r="D33" i="8"/>
  <c r="D39" i="5"/>
  <c r="D35" i="8"/>
  <c r="E53" i="5"/>
  <c r="C53" i="7"/>
  <c r="E53" i="7" s="1"/>
  <c r="A32" i="11"/>
  <c r="A30" i="11"/>
  <c r="E51" i="5"/>
  <c r="C51" i="7"/>
  <c r="E51" i="7" s="1"/>
  <c r="D5" i="9"/>
  <c r="A10" i="9"/>
  <c r="B39" i="7" l="1"/>
  <c r="F39" i="7" s="1"/>
  <c r="B35" i="6"/>
  <c r="B44" i="6" s="1"/>
  <c r="B43" i="6"/>
  <c r="C30" i="5"/>
  <c r="C40" i="5"/>
  <c r="A10" i="11"/>
  <c r="E31" i="5"/>
  <c r="C31" i="7"/>
  <c r="E31" i="7" s="1"/>
  <c r="A16" i="11"/>
  <c r="E37" i="5"/>
  <c r="C37" i="7"/>
  <c r="E37" i="7" s="1"/>
  <c r="C38" i="5"/>
  <c r="C46" i="5"/>
  <c r="A24" i="11"/>
  <c r="E45" i="5"/>
  <c r="I41" i="4"/>
  <c r="I53" i="4" s="1"/>
  <c r="C45" i="7"/>
  <c r="E45" i="7" s="1"/>
  <c r="C54" i="5"/>
  <c r="E41" i="5"/>
  <c r="E41" i="4"/>
  <c r="E53" i="4" s="1"/>
  <c r="C41" i="7"/>
  <c r="E41" i="7" s="1"/>
  <c r="A20" i="11"/>
  <c r="C50" i="5"/>
  <c r="B33" i="6"/>
  <c r="B42" i="6" s="1"/>
  <c r="D31" i="7"/>
  <c r="B29" i="9"/>
  <c r="D4" i="9" s="1"/>
  <c r="D36" i="8"/>
  <c r="D44" i="8"/>
  <c r="D40" i="5"/>
  <c r="B18" i="11"/>
  <c r="B46" i="4"/>
  <c r="D52" i="8"/>
  <c r="B46" i="3"/>
  <c r="D32" i="8"/>
  <c r="D42" i="8"/>
  <c r="D8" i="9"/>
  <c r="D37" i="9" s="1"/>
  <c r="D7" i="9"/>
  <c r="D35" i="9"/>
  <c r="B40" i="7"/>
  <c r="B9" i="10"/>
  <c r="B22" i="10"/>
  <c r="B24" i="10"/>
  <c r="B28" i="10" s="1"/>
  <c r="B19" i="10"/>
  <c r="B20" i="10" s="1"/>
  <c r="B25" i="10"/>
  <c r="B26" i="10" s="1"/>
  <c r="B52" i="6"/>
  <c r="F43" i="6"/>
  <c r="G41" i="3"/>
  <c r="E3" i="10"/>
  <c r="F33" i="6" l="1"/>
  <c r="B32" i="6"/>
  <c r="B31" i="6" s="1"/>
  <c r="B36" i="6"/>
  <c r="B45" i="6" s="1"/>
  <c r="F35" i="6"/>
  <c r="A29" i="11"/>
  <c r="C50" i="7"/>
  <c r="E50" i="7" s="1"/>
  <c r="E50" i="5"/>
  <c r="C54" i="7"/>
  <c r="E54" i="7" s="1"/>
  <c r="E54" i="5"/>
  <c r="A33" i="11"/>
  <c r="A25" i="11"/>
  <c r="C46" i="7"/>
  <c r="E46" i="7" s="1"/>
  <c r="J41" i="4"/>
  <c r="J53" i="4" s="1"/>
  <c r="C55" i="5"/>
  <c r="E46" i="5"/>
  <c r="C40" i="7"/>
  <c r="E40" i="7" s="1"/>
  <c r="E40" i="5"/>
  <c r="C49" i="5"/>
  <c r="A19" i="11"/>
  <c r="D41" i="4"/>
  <c r="D53" i="4" s="1"/>
  <c r="E38" i="5"/>
  <c r="C47" i="5"/>
  <c r="C38" i="7"/>
  <c r="E38" i="7" s="1"/>
  <c r="A17" i="11"/>
  <c r="C30" i="6"/>
  <c r="C39" i="5"/>
  <c r="C30" i="8"/>
  <c r="C30" i="7"/>
  <c r="E30" i="7" s="1"/>
  <c r="A9" i="11"/>
  <c r="E30" i="5"/>
  <c r="D41" i="8"/>
  <c r="D31" i="8"/>
  <c r="J58" i="3"/>
  <c r="R46" i="3"/>
  <c r="D9" i="9"/>
  <c r="D51" i="8"/>
  <c r="B45" i="3"/>
  <c r="G45" i="3" s="1"/>
  <c r="O57" i="3" s="1"/>
  <c r="W45" i="3" s="1"/>
  <c r="B45" i="4"/>
  <c r="D32" i="7"/>
  <c r="B58" i="4"/>
  <c r="B19" i="11"/>
  <c r="F19" i="11" s="1"/>
  <c r="D41" i="5"/>
  <c r="D45" i="8"/>
  <c r="D37" i="8"/>
  <c r="B47" i="3"/>
  <c r="G47" i="3" s="1"/>
  <c r="O59" i="3" s="1"/>
  <c r="B47" i="4"/>
  <c r="D53" i="8"/>
  <c r="B53" i="6"/>
  <c r="F44" i="6"/>
  <c r="H41" i="3"/>
  <c r="W41" i="3"/>
  <c r="O53" i="3"/>
  <c r="G46" i="3"/>
  <c r="O58" i="3" s="1"/>
  <c r="F52" i="6"/>
  <c r="B37" i="6"/>
  <c r="B51" i="6"/>
  <c r="F42" i="6"/>
  <c r="F41" i="3"/>
  <c r="F40" i="7"/>
  <c r="B41" i="7"/>
  <c r="B38" i="9"/>
  <c r="D38" i="9" s="1"/>
  <c r="B4" i="11"/>
  <c r="F18" i="11"/>
  <c r="B21" i="9"/>
  <c r="B22" i="9"/>
  <c r="B27" i="10"/>
  <c r="F32" i="6" l="1"/>
  <c r="B41" i="6"/>
  <c r="F36" i="6"/>
  <c r="E30" i="8"/>
  <c r="C31" i="8"/>
  <c r="C41" i="4"/>
  <c r="C39" i="8"/>
  <c r="E39" i="5"/>
  <c r="A18" i="11"/>
  <c r="C39" i="7"/>
  <c r="E39" i="7" s="1"/>
  <c r="C48" i="5"/>
  <c r="C56" i="5"/>
  <c r="K41" i="4"/>
  <c r="K53" i="4" s="1"/>
  <c r="A26" i="11"/>
  <c r="C47" i="7"/>
  <c r="E47" i="7" s="1"/>
  <c r="E47" i="5"/>
  <c r="A28" i="11"/>
  <c r="E49" i="5"/>
  <c r="C49" i="7"/>
  <c r="E49" i="7" s="1"/>
  <c r="E55" i="5"/>
  <c r="C55" i="7"/>
  <c r="E55" i="7" s="1"/>
  <c r="A34" i="11"/>
  <c r="G30" i="7"/>
  <c r="H30" i="7" s="1"/>
  <c r="C31" i="6"/>
  <c r="E30" i="6"/>
  <c r="B28" i="9"/>
  <c r="D19" i="11"/>
  <c r="E19" i="11" s="1"/>
  <c r="G19" i="11" s="1"/>
  <c r="D18" i="11"/>
  <c r="W46" i="3"/>
  <c r="B59" i="4"/>
  <c r="D46" i="8"/>
  <c r="D38" i="8"/>
  <c r="B20" i="11"/>
  <c r="D42" i="5"/>
  <c r="R45" i="3"/>
  <c r="J57" i="3"/>
  <c r="J59" i="3"/>
  <c r="R47" i="3"/>
  <c r="D54" i="8"/>
  <c r="B48" i="4"/>
  <c r="B48" i="3"/>
  <c r="H48" i="3" s="1"/>
  <c r="P60" i="3" s="1"/>
  <c r="D40" i="8"/>
  <c r="D30" i="8"/>
  <c r="B44" i="3"/>
  <c r="F44" i="3" s="1"/>
  <c r="N56" i="3" s="1"/>
  <c r="V44" i="3" s="1"/>
  <c r="B44" i="4"/>
  <c r="D50" i="8"/>
  <c r="D33" i="7"/>
  <c r="D34" i="7" s="1"/>
  <c r="D35" i="7" s="1"/>
  <c r="D36" i="7" s="1"/>
  <c r="D37" i="7" s="1"/>
  <c r="D38" i="7" s="1"/>
  <c r="D39" i="7" s="1"/>
  <c r="D45" i="4"/>
  <c r="D57" i="4" s="1"/>
  <c r="B57" i="4"/>
  <c r="W47" i="3"/>
  <c r="V41" i="3"/>
  <c r="F46" i="3"/>
  <c r="N58" i="3" s="1"/>
  <c r="F47" i="3"/>
  <c r="N59" i="3" s="1"/>
  <c r="V47" i="3" s="1"/>
  <c r="F45" i="3"/>
  <c r="N57" i="3" s="1"/>
  <c r="N53" i="3"/>
  <c r="F51" i="6"/>
  <c r="B38" i="6"/>
  <c r="B46" i="6"/>
  <c r="F37" i="6"/>
  <c r="B50" i="6"/>
  <c r="F41" i="6"/>
  <c r="E41" i="3"/>
  <c r="F41" i="7"/>
  <c r="B42" i="7"/>
  <c r="B54" i="6"/>
  <c r="F45" i="6"/>
  <c r="I41" i="3"/>
  <c r="B30" i="6"/>
  <c r="B40" i="6"/>
  <c r="F31" i="6"/>
  <c r="X41" i="3"/>
  <c r="H46" i="3"/>
  <c r="P58" i="3" s="1"/>
  <c r="H47" i="3"/>
  <c r="P59" i="3" s="1"/>
  <c r="H45" i="3"/>
  <c r="P57" i="3" s="1"/>
  <c r="P53" i="3"/>
  <c r="F53" i="6"/>
  <c r="D36" i="9"/>
  <c r="D39" i="9" s="1"/>
  <c r="H44" i="3" l="1"/>
  <c r="P56" i="3" s="1"/>
  <c r="X44" i="3" s="1"/>
  <c r="X47" i="3"/>
  <c r="C32" i="6"/>
  <c r="E31" i="6"/>
  <c r="C53" i="4"/>
  <c r="C46" i="4"/>
  <c r="C58" i="4" s="1"/>
  <c r="H19" i="11"/>
  <c r="I19" i="11" s="1"/>
  <c r="C32" i="8"/>
  <c r="E31" i="8"/>
  <c r="C45" i="4"/>
  <c r="C57" i="4" s="1"/>
  <c r="C56" i="7"/>
  <c r="E56" i="7" s="1"/>
  <c r="A35" i="11"/>
  <c r="C48" i="8"/>
  <c r="E56" i="5"/>
  <c r="G39" i="5"/>
  <c r="C18" i="11" s="1"/>
  <c r="J18" i="11" s="1"/>
  <c r="C47" i="4"/>
  <c r="C59" i="4" s="1"/>
  <c r="C48" i="7"/>
  <c r="E48" i="7" s="1"/>
  <c r="A27" i="11"/>
  <c r="E48" i="5"/>
  <c r="C40" i="8"/>
  <c r="E39" i="8"/>
  <c r="F48" i="3"/>
  <c r="N60" i="3" s="1"/>
  <c r="E18" i="11"/>
  <c r="G18" i="11" s="1"/>
  <c r="R48" i="3"/>
  <c r="J60" i="3"/>
  <c r="G48" i="3"/>
  <c r="O60" i="3" s="1"/>
  <c r="W48" i="3" s="1"/>
  <c r="F20" i="11"/>
  <c r="D20" i="11"/>
  <c r="E20" i="11" s="1"/>
  <c r="G20" i="11" s="1"/>
  <c r="D55" i="8"/>
  <c r="B49" i="3"/>
  <c r="I49" i="3" s="1"/>
  <c r="Q61" i="3" s="1"/>
  <c r="B49" i="4"/>
  <c r="B60" i="4"/>
  <c r="C48" i="4"/>
  <c r="C60" i="4"/>
  <c r="C44" i="4"/>
  <c r="C56" i="4" s="1"/>
  <c r="D44" i="4"/>
  <c r="D56" i="4" s="1"/>
  <c r="B56" i="4"/>
  <c r="D30" i="6"/>
  <c r="D31" i="6" s="1"/>
  <c r="D32" i="6" s="1"/>
  <c r="D30" i="5"/>
  <c r="D39" i="8"/>
  <c r="H30" i="8"/>
  <c r="G30" i="8"/>
  <c r="D43" i="5"/>
  <c r="B21" i="11"/>
  <c r="G39" i="7"/>
  <c r="H39" i="7" s="1"/>
  <c r="I39" i="7" s="1"/>
  <c r="J39" i="7" s="1"/>
  <c r="D40" i="7"/>
  <c r="J56" i="3"/>
  <c r="G44" i="3"/>
  <c r="O56" i="3" s="1"/>
  <c r="W44" i="3" s="1"/>
  <c r="R44" i="3"/>
  <c r="B43" i="4"/>
  <c r="D49" i="8"/>
  <c r="B43" i="3"/>
  <c r="I43" i="3" s="1"/>
  <c r="Q55" i="3" s="1"/>
  <c r="D47" i="8"/>
  <c r="D48" i="5"/>
  <c r="D48" i="6"/>
  <c r="D49" i="6" s="1"/>
  <c r="D50" i="6" s="1"/>
  <c r="D51" i="6" s="1"/>
  <c r="D52" i="6" s="1"/>
  <c r="V48" i="3"/>
  <c r="V45" i="3"/>
  <c r="V46" i="3"/>
  <c r="F30" i="6"/>
  <c r="B39" i="6"/>
  <c r="B30" i="5"/>
  <c r="B30" i="7"/>
  <c r="F54" i="6"/>
  <c r="F38" i="6"/>
  <c r="B47" i="6"/>
  <c r="B48" i="7"/>
  <c r="Y41" i="3"/>
  <c r="Q53" i="3"/>
  <c r="I46" i="3"/>
  <c r="Q58" i="3" s="1"/>
  <c r="I47" i="3"/>
  <c r="Q59" i="3" s="1"/>
  <c r="I45" i="3"/>
  <c r="Q57" i="3" s="1"/>
  <c r="Y45" i="3" s="1"/>
  <c r="I44" i="3"/>
  <c r="Q56" i="3" s="1"/>
  <c r="I48" i="3"/>
  <c r="Q60" i="3" s="1"/>
  <c r="U41" i="3"/>
  <c r="M53" i="3"/>
  <c r="E46" i="3"/>
  <c r="M58" i="3" s="1"/>
  <c r="E47" i="3"/>
  <c r="M59" i="3" s="1"/>
  <c r="E45" i="3"/>
  <c r="M57" i="3" s="1"/>
  <c r="U45" i="3" s="1"/>
  <c r="E44" i="3"/>
  <c r="M56" i="3" s="1"/>
  <c r="U44" i="3" s="1"/>
  <c r="E48" i="3"/>
  <c r="M60" i="3" s="1"/>
  <c r="F50" i="6"/>
  <c r="B49" i="6"/>
  <c r="F40" i="6"/>
  <c r="D41" i="3"/>
  <c r="F42" i="7"/>
  <c r="B43" i="7"/>
  <c r="B55" i="6"/>
  <c r="F46" i="6"/>
  <c r="J41" i="3"/>
  <c r="X48" i="3"/>
  <c r="X45" i="3"/>
  <c r="X46" i="3"/>
  <c r="U47" i="3" l="1"/>
  <c r="Y49" i="3"/>
  <c r="H39" i="5"/>
  <c r="E49" i="3"/>
  <c r="M61" i="3" s="1"/>
  <c r="U49" i="3" s="1"/>
  <c r="G30" i="6"/>
  <c r="H30" i="6" s="1"/>
  <c r="I30" i="6" s="1"/>
  <c r="J30" i="6" s="1"/>
  <c r="H20" i="11"/>
  <c r="I20" i="11" s="1"/>
  <c r="U48" i="3"/>
  <c r="U46" i="3"/>
  <c r="Y48" i="3"/>
  <c r="Y46" i="3"/>
  <c r="C41" i="8"/>
  <c r="E40" i="8"/>
  <c r="C33" i="8"/>
  <c r="E32" i="8"/>
  <c r="E48" i="8"/>
  <c r="C49" i="8"/>
  <c r="G31" i="8"/>
  <c r="H31" i="8" s="1"/>
  <c r="E32" i="6"/>
  <c r="C33" i="6"/>
  <c r="H18" i="11"/>
  <c r="E43" i="3"/>
  <c r="M55" i="3" s="1"/>
  <c r="U43" i="3" s="1"/>
  <c r="G43" i="3"/>
  <c r="O55" i="3" s="1"/>
  <c r="W43" i="3" s="1"/>
  <c r="H43" i="3"/>
  <c r="P55" i="3" s="1"/>
  <c r="X43" i="3" s="1"/>
  <c r="J55" i="3"/>
  <c r="R43" i="3"/>
  <c r="F43" i="3"/>
  <c r="N55" i="3" s="1"/>
  <c r="V43" i="3" s="1"/>
  <c r="G40" i="7"/>
  <c r="H40" i="7" s="1"/>
  <c r="I40" i="7" s="1"/>
  <c r="J40" i="7" s="1"/>
  <c r="D41" i="7"/>
  <c r="G30" i="5"/>
  <c r="C9" i="11" s="1"/>
  <c r="D31" i="5"/>
  <c r="B9" i="11"/>
  <c r="H30" i="5"/>
  <c r="I30" i="5" s="1"/>
  <c r="J30" i="5" s="1"/>
  <c r="B61" i="4"/>
  <c r="B27" i="11"/>
  <c r="D49" i="5"/>
  <c r="D21" i="11"/>
  <c r="F21" i="11"/>
  <c r="D33" i="6"/>
  <c r="G32" i="6"/>
  <c r="H32" i="6" s="1"/>
  <c r="I32" i="6" s="1"/>
  <c r="J32" i="6" s="1"/>
  <c r="G49" i="3"/>
  <c r="O61" i="3" s="1"/>
  <c r="W49" i="3" s="1"/>
  <c r="H49" i="3"/>
  <c r="P61" i="3" s="1"/>
  <c r="X49" i="3" s="1"/>
  <c r="R49" i="3"/>
  <c r="F49" i="3"/>
  <c r="N61" i="3" s="1"/>
  <c r="V49" i="3" s="1"/>
  <c r="J61" i="3"/>
  <c r="D56" i="8"/>
  <c r="B50" i="4"/>
  <c r="B50" i="3"/>
  <c r="J50" i="3" s="1"/>
  <c r="R62" i="3" s="1"/>
  <c r="D43" i="4"/>
  <c r="D55" i="4" s="1"/>
  <c r="C43" i="4"/>
  <c r="C55" i="4" s="1"/>
  <c r="B55" i="4"/>
  <c r="E43" i="4"/>
  <c r="E55" i="4" s="1"/>
  <c r="D44" i="5"/>
  <c r="B22" i="11"/>
  <c r="D53" i="6"/>
  <c r="G31" i="6"/>
  <c r="H31" i="6" s="1"/>
  <c r="I31" i="6" s="1"/>
  <c r="J31" i="6" s="1"/>
  <c r="B42" i="3"/>
  <c r="D42" i="3" s="1"/>
  <c r="L54" i="3" s="1"/>
  <c r="D48" i="8"/>
  <c r="B42" i="4"/>
  <c r="Y43" i="3"/>
  <c r="Y44" i="3"/>
  <c r="Y47" i="3"/>
  <c r="T41" i="3"/>
  <c r="D46" i="3"/>
  <c r="L58" i="3" s="1"/>
  <c r="D47" i="3"/>
  <c r="L59" i="3" s="1"/>
  <c r="D45" i="3"/>
  <c r="L57" i="3" s="1"/>
  <c r="D44" i="3"/>
  <c r="L56" i="3" s="1"/>
  <c r="T44" i="3" s="1"/>
  <c r="D48" i="3"/>
  <c r="L60" i="3" s="1"/>
  <c r="L53" i="3"/>
  <c r="D49" i="3"/>
  <c r="L61" i="3" s="1"/>
  <c r="D43" i="3"/>
  <c r="L55" i="3" s="1"/>
  <c r="T43" i="3" s="1"/>
  <c r="F49" i="6"/>
  <c r="B56" i="6"/>
  <c r="F47" i="6"/>
  <c r="K41" i="3"/>
  <c r="B31" i="5"/>
  <c r="B3" i="11"/>
  <c r="B27" i="9"/>
  <c r="D6" i="9" s="1"/>
  <c r="B30" i="8"/>
  <c r="F30" i="5"/>
  <c r="Z41" i="3"/>
  <c r="J46" i="3"/>
  <c r="R58" i="3" s="1"/>
  <c r="J47" i="3"/>
  <c r="R59" i="3" s="1"/>
  <c r="J45" i="3"/>
  <c r="R57" i="3" s="1"/>
  <c r="J44" i="3"/>
  <c r="R56" i="3" s="1"/>
  <c r="Z44" i="3" s="1"/>
  <c r="J48" i="3"/>
  <c r="R60" i="3" s="1"/>
  <c r="R53" i="3"/>
  <c r="J49" i="3"/>
  <c r="R61" i="3" s="1"/>
  <c r="J43" i="3"/>
  <c r="R55" i="3" s="1"/>
  <c r="Z43" i="3" s="1"/>
  <c r="F55" i="6"/>
  <c r="F43" i="7"/>
  <c r="B44" i="7"/>
  <c r="F48" i="7"/>
  <c r="B49" i="7"/>
  <c r="F30" i="7"/>
  <c r="B31" i="7"/>
  <c r="I30" i="7"/>
  <c r="J30" i="7" s="1"/>
  <c r="C41" i="3"/>
  <c r="B48" i="6"/>
  <c r="F39" i="6"/>
  <c r="Z49" i="3" l="1"/>
  <c r="T42" i="3"/>
  <c r="Z50" i="3"/>
  <c r="Z45" i="3"/>
  <c r="Z47" i="3"/>
  <c r="Z48" i="3"/>
  <c r="G32" i="8"/>
  <c r="H32" i="8" s="1"/>
  <c r="E33" i="8"/>
  <c r="C34" i="8"/>
  <c r="E33" i="6"/>
  <c r="C34" i="6"/>
  <c r="C50" i="8"/>
  <c r="E49" i="8"/>
  <c r="E41" i="8"/>
  <c r="C42" i="8"/>
  <c r="D50" i="3"/>
  <c r="L62" i="3" s="1"/>
  <c r="T50" i="3" s="1"/>
  <c r="K18" i="11"/>
  <c r="I18" i="11"/>
  <c r="J42" i="3"/>
  <c r="R54" i="3" s="1"/>
  <c r="Z42" i="3" s="1"/>
  <c r="T48" i="3"/>
  <c r="T49" i="3"/>
  <c r="T47" i="3"/>
  <c r="F42" i="4"/>
  <c r="F54" i="4" s="1"/>
  <c r="B54" i="4"/>
  <c r="D54" i="4"/>
  <c r="C42" i="4"/>
  <c r="D42" i="4"/>
  <c r="E42" i="4"/>
  <c r="E54" i="4" s="1"/>
  <c r="C54" i="4"/>
  <c r="G41" i="7"/>
  <c r="H41" i="7" s="1"/>
  <c r="I41" i="7" s="1"/>
  <c r="J41" i="7" s="1"/>
  <c r="D42" i="7"/>
  <c r="T46" i="3"/>
  <c r="D54" i="6"/>
  <c r="F50" i="3"/>
  <c r="N62" i="3" s="1"/>
  <c r="V50" i="3" s="1"/>
  <c r="H50" i="3"/>
  <c r="P62" i="3" s="1"/>
  <c r="X50" i="3" s="1"/>
  <c r="J62" i="3"/>
  <c r="I50" i="3"/>
  <c r="Q62" i="3" s="1"/>
  <c r="Y50" i="3" s="1"/>
  <c r="R50" i="3"/>
  <c r="G50" i="3"/>
  <c r="O62" i="3" s="1"/>
  <c r="W50" i="3" s="1"/>
  <c r="E50" i="3"/>
  <c r="M62" i="3" s="1"/>
  <c r="U50" i="3" s="1"/>
  <c r="D34" i="6"/>
  <c r="G33" i="6"/>
  <c r="H33" i="6" s="1"/>
  <c r="I33" i="6" s="1"/>
  <c r="J33" i="6" s="1"/>
  <c r="B28" i="11"/>
  <c r="D50" i="5"/>
  <c r="F42" i="3"/>
  <c r="N54" i="3" s="1"/>
  <c r="V42" i="3" s="1"/>
  <c r="H42" i="3"/>
  <c r="P54" i="3" s="1"/>
  <c r="X42" i="3" s="1"/>
  <c r="E42" i="3"/>
  <c r="M54" i="3" s="1"/>
  <c r="U42" i="3" s="1"/>
  <c r="J54" i="3"/>
  <c r="I42" i="3"/>
  <c r="Q54" i="3" s="1"/>
  <c r="Y42" i="3" s="1"/>
  <c r="R42" i="3"/>
  <c r="G42" i="3"/>
  <c r="O54" i="3" s="1"/>
  <c r="W42" i="3" s="1"/>
  <c r="D22" i="11"/>
  <c r="F22" i="11"/>
  <c r="B62" i="4"/>
  <c r="F27" i="11"/>
  <c r="D27" i="11"/>
  <c r="D9" i="11"/>
  <c r="F9" i="11"/>
  <c r="J9" i="11"/>
  <c r="T45" i="3"/>
  <c r="D45" i="5"/>
  <c r="B23" i="11"/>
  <c r="E21" i="11"/>
  <c r="G21" i="11" s="1"/>
  <c r="G31" i="5"/>
  <c r="C10" i="11" s="1"/>
  <c r="H31" i="5"/>
  <c r="I31" i="5" s="1"/>
  <c r="J31" i="5" s="1"/>
  <c r="B10" i="11"/>
  <c r="D32" i="5"/>
  <c r="Z46" i="3"/>
  <c r="F48" i="6"/>
  <c r="F49" i="7"/>
  <c r="B50" i="7"/>
  <c r="F31" i="5"/>
  <c r="B32" i="5"/>
  <c r="AA41" i="3"/>
  <c r="S53" i="3"/>
  <c r="K46" i="3"/>
  <c r="S58" i="3" s="1"/>
  <c r="K47" i="3"/>
  <c r="S59" i="3" s="1"/>
  <c r="K45" i="3"/>
  <c r="S57" i="3" s="1"/>
  <c r="AA45" i="3" s="1"/>
  <c r="K42" i="3"/>
  <c r="S54" i="3" s="1"/>
  <c r="K44" i="3"/>
  <c r="S56" i="3" s="1"/>
  <c r="K48" i="3"/>
  <c r="S60" i="3" s="1"/>
  <c r="K49" i="3"/>
  <c r="S61" i="3" s="1"/>
  <c r="AA49" i="3" s="1"/>
  <c r="K43" i="3"/>
  <c r="S55" i="3" s="1"/>
  <c r="K50" i="3"/>
  <c r="S62" i="3" s="1"/>
  <c r="F56" i="6"/>
  <c r="K53" i="3"/>
  <c r="S41" i="3"/>
  <c r="C46" i="3"/>
  <c r="K58" i="3" s="1"/>
  <c r="C47" i="3"/>
  <c r="K59" i="3" s="1"/>
  <c r="C45" i="3"/>
  <c r="K57" i="3" s="1"/>
  <c r="C42" i="3"/>
  <c r="K54" i="3" s="1"/>
  <c r="S42" i="3" s="1"/>
  <c r="C44" i="3"/>
  <c r="K56" i="3" s="1"/>
  <c r="S44" i="3" s="1"/>
  <c r="C48" i="3"/>
  <c r="K60" i="3" s="1"/>
  <c r="S48" i="3" s="1"/>
  <c r="C49" i="3"/>
  <c r="K61" i="3" s="1"/>
  <c r="C43" i="3"/>
  <c r="K55" i="3" s="1"/>
  <c r="S43" i="3" s="1"/>
  <c r="C50" i="3"/>
  <c r="K62" i="3" s="1"/>
  <c r="S50" i="3" s="1"/>
  <c r="F31" i="7"/>
  <c r="G31" i="7" s="1"/>
  <c r="H31" i="7" s="1"/>
  <c r="I31" i="7" s="1"/>
  <c r="J31" i="7" s="1"/>
  <c r="B32" i="7"/>
  <c r="F44" i="7"/>
  <c r="B45" i="7"/>
  <c r="B31" i="8"/>
  <c r="I30" i="8"/>
  <c r="J30" i="8" s="1"/>
  <c r="F30" i="8"/>
  <c r="S49" i="3" l="1"/>
  <c r="S47" i="3"/>
  <c r="E50" i="8"/>
  <c r="C51" i="8"/>
  <c r="G33" i="8"/>
  <c r="H33" i="8" s="1"/>
  <c r="E42" i="8"/>
  <c r="C43" i="8"/>
  <c r="E34" i="6"/>
  <c r="G34" i="6" s="1"/>
  <c r="H34" i="6" s="1"/>
  <c r="I34" i="6" s="1"/>
  <c r="J34" i="6" s="1"/>
  <c r="C35" i="6"/>
  <c r="C35" i="8"/>
  <c r="E34" i="8"/>
  <c r="L18" i="11"/>
  <c r="AA50" i="3"/>
  <c r="AA44" i="3"/>
  <c r="AA46" i="3"/>
  <c r="AA43" i="3"/>
  <c r="AA42" i="3"/>
  <c r="H21" i="11"/>
  <c r="I21" i="11" s="1"/>
  <c r="E9" i="11"/>
  <c r="G9" i="11" s="1"/>
  <c r="E22" i="11"/>
  <c r="H22" i="11" s="1"/>
  <c r="D43" i="7"/>
  <c r="G42" i="7"/>
  <c r="H42" i="7" s="1"/>
  <c r="I42" i="7" s="1"/>
  <c r="J42" i="7" s="1"/>
  <c r="E27" i="11"/>
  <c r="G27" i="11" s="1"/>
  <c r="F28" i="11"/>
  <c r="D28" i="11"/>
  <c r="AA48" i="3"/>
  <c r="AA47" i="3"/>
  <c r="D33" i="5"/>
  <c r="G32" i="5"/>
  <c r="C11" i="11" s="1"/>
  <c r="H32" i="5"/>
  <c r="I32" i="5" s="1"/>
  <c r="J32" i="5" s="1"/>
  <c r="B11" i="11"/>
  <c r="D23" i="11"/>
  <c r="F23" i="11"/>
  <c r="B29" i="11"/>
  <c r="D51" i="5"/>
  <c r="D55" i="6"/>
  <c r="F10" i="11"/>
  <c r="J10" i="11"/>
  <c r="D10" i="11"/>
  <c r="D46" i="5"/>
  <c r="B24" i="11"/>
  <c r="D35" i="6"/>
  <c r="F32" i="7"/>
  <c r="G32" i="7" s="1"/>
  <c r="H32" i="7" s="1"/>
  <c r="I32" i="7" s="1"/>
  <c r="J32" i="7" s="1"/>
  <c r="B33" i="7"/>
  <c r="B32" i="8"/>
  <c r="I31" i="8"/>
  <c r="J31" i="8" s="1"/>
  <c r="F31" i="8"/>
  <c r="F45" i="7"/>
  <c r="B46" i="7"/>
  <c r="B33" i="5"/>
  <c r="F32" i="5"/>
  <c r="F50" i="7"/>
  <c r="B51" i="7"/>
  <c r="S45" i="3"/>
  <c r="S46" i="3"/>
  <c r="E35" i="6" l="1"/>
  <c r="C36" i="6"/>
  <c r="G34" i="8"/>
  <c r="H34" i="8" s="1"/>
  <c r="C52" i="8"/>
  <c r="E51" i="8"/>
  <c r="C44" i="8"/>
  <c r="E43" i="8"/>
  <c r="C36" i="8"/>
  <c r="E35" i="8"/>
  <c r="H9" i="11"/>
  <c r="K9" i="11" s="1"/>
  <c r="D56" i="6"/>
  <c r="G33" i="5"/>
  <c r="C12" i="11" s="1"/>
  <c r="B12" i="11"/>
  <c r="D34" i="5"/>
  <c r="E28" i="11"/>
  <c r="G28" i="11" s="1"/>
  <c r="D44" i="7"/>
  <c r="G43" i="7"/>
  <c r="H43" i="7" s="1"/>
  <c r="I43" i="7" s="1"/>
  <c r="J43" i="7" s="1"/>
  <c r="B30" i="11"/>
  <c r="D52" i="5"/>
  <c r="F11" i="11"/>
  <c r="D11" i="11"/>
  <c r="E11" i="11" s="1"/>
  <c r="H11" i="11" s="1"/>
  <c r="J11" i="11"/>
  <c r="H27" i="11"/>
  <c r="G22" i="11"/>
  <c r="I22" i="11" s="1"/>
  <c r="F24" i="11"/>
  <c r="D24" i="11"/>
  <c r="E10" i="11"/>
  <c r="G10" i="11" s="1"/>
  <c r="D29" i="11"/>
  <c r="E29" i="11" s="1"/>
  <c r="G29" i="11" s="1"/>
  <c r="F29" i="11"/>
  <c r="E23" i="11"/>
  <c r="G23" i="11" s="1"/>
  <c r="D36" i="6"/>
  <c r="G35" i="6"/>
  <c r="H35" i="6" s="1"/>
  <c r="I35" i="6" s="1"/>
  <c r="J35" i="6" s="1"/>
  <c r="D47" i="5"/>
  <c r="B26" i="11" s="1"/>
  <c r="B25" i="11"/>
  <c r="F51" i="7"/>
  <c r="B52" i="7"/>
  <c r="B33" i="8"/>
  <c r="I32" i="8"/>
  <c r="J32" i="8" s="1"/>
  <c r="F32" i="8"/>
  <c r="F33" i="7"/>
  <c r="G33" i="7" s="1"/>
  <c r="H33" i="7" s="1"/>
  <c r="I33" i="7" s="1"/>
  <c r="J33" i="7" s="1"/>
  <c r="B34" i="7"/>
  <c r="F33" i="5"/>
  <c r="B34" i="5"/>
  <c r="F46" i="7"/>
  <c r="B47" i="7"/>
  <c r="C37" i="8" l="1"/>
  <c r="E36" i="8"/>
  <c r="E52" i="8"/>
  <c r="C53" i="8"/>
  <c r="C45" i="8"/>
  <c r="E44" i="8"/>
  <c r="H29" i="11"/>
  <c r="I29" i="11" s="1"/>
  <c r="G35" i="8"/>
  <c r="H35" i="8" s="1"/>
  <c r="C37" i="6"/>
  <c r="E36" i="6"/>
  <c r="G36" i="6" s="1"/>
  <c r="H36" i="6" s="1"/>
  <c r="I36" i="6" s="1"/>
  <c r="J36" i="6" s="1"/>
  <c r="G11" i="11"/>
  <c r="I11" i="11" s="1"/>
  <c r="I9" i="11"/>
  <c r="L9" i="11" s="1"/>
  <c r="H33" i="5"/>
  <c r="I33" i="5" s="1"/>
  <c r="J33" i="5" s="1"/>
  <c r="H23" i="11"/>
  <c r="I23" i="11" s="1"/>
  <c r="H10" i="11"/>
  <c r="K10" i="11" s="1"/>
  <c r="F25" i="11"/>
  <c r="D25" i="11"/>
  <c r="E25" i="11" s="1"/>
  <c r="H25" i="11" s="1"/>
  <c r="K11" i="11"/>
  <c r="B13" i="11"/>
  <c r="D35" i="5"/>
  <c r="F26" i="11"/>
  <c r="D26" i="11"/>
  <c r="D45" i="7"/>
  <c r="G44" i="7"/>
  <c r="H44" i="7" s="1"/>
  <c r="I44" i="7" s="1"/>
  <c r="J44" i="7" s="1"/>
  <c r="D12" i="11"/>
  <c r="F12" i="11"/>
  <c r="J12" i="11"/>
  <c r="I27" i="11"/>
  <c r="D53" i="5"/>
  <c r="B31" i="11"/>
  <c r="H28" i="11"/>
  <c r="D37" i="6"/>
  <c r="E24" i="11"/>
  <c r="G24" i="11" s="1"/>
  <c r="F30" i="11"/>
  <c r="D30" i="11"/>
  <c r="G25" i="11"/>
  <c r="F47" i="7"/>
  <c r="B35" i="5"/>
  <c r="F34" i="5"/>
  <c r="G34" i="5" s="1"/>
  <c r="F34" i="7"/>
  <c r="G34" i="7" s="1"/>
  <c r="H34" i="7" s="1"/>
  <c r="I34" i="7" s="1"/>
  <c r="J34" i="7" s="1"/>
  <c r="B35" i="7"/>
  <c r="B34" i="8"/>
  <c r="I33" i="8"/>
  <c r="J33" i="8" s="1"/>
  <c r="F33" i="8"/>
  <c r="F52" i="7"/>
  <c r="B53" i="7"/>
  <c r="L11" i="11" l="1"/>
  <c r="E45" i="8"/>
  <c r="C46" i="8"/>
  <c r="C38" i="8"/>
  <c r="E38" i="8" s="1"/>
  <c r="E37" i="8"/>
  <c r="E53" i="8"/>
  <c r="C54" i="8"/>
  <c r="C38" i="6"/>
  <c r="E37" i="6"/>
  <c r="G37" i="6" s="1"/>
  <c r="H37" i="6" s="1"/>
  <c r="I37" i="6" s="1"/>
  <c r="J37" i="6" s="1"/>
  <c r="G36" i="8"/>
  <c r="H36" i="8" s="1"/>
  <c r="I10" i="11"/>
  <c r="L10" i="11" s="1"/>
  <c r="H24" i="11"/>
  <c r="I24" i="11" s="1"/>
  <c r="I25" i="11"/>
  <c r="B32" i="11"/>
  <c r="D54" i="5"/>
  <c r="E12" i="11"/>
  <c r="G12" i="11" s="1"/>
  <c r="I28" i="11"/>
  <c r="E26" i="11"/>
  <c r="G26" i="11" s="1"/>
  <c r="D13" i="11"/>
  <c r="F13" i="11"/>
  <c r="D46" i="7"/>
  <c r="G45" i="7"/>
  <c r="H45" i="7" s="1"/>
  <c r="I45" i="7" s="1"/>
  <c r="J45" i="7" s="1"/>
  <c r="E30" i="11"/>
  <c r="G30" i="11" s="1"/>
  <c r="D38" i="6"/>
  <c r="D31" i="11"/>
  <c r="F31" i="11"/>
  <c r="B14" i="11"/>
  <c r="D36" i="5"/>
  <c r="C13" i="11"/>
  <c r="J13" i="11" s="1"/>
  <c r="H34" i="5"/>
  <c r="I34" i="5" s="1"/>
  <c r="J34" i="5" s="1"/>
  <c r="F53" i="7"/>
  <c r="B54" i="7"/>
  <c r="B35" i="8"/>
  <c r="I34" i="8"/>
  <c r="J34" i="8" s="1"/>
  <c r="F34" i="8"/>
  <c r="F35" i="7"/>
  <c r="G35" i="7" s="1"/>
  <c r="H35" i="7" s="1"/>
  <c r="I35" i="7" s="1"/>
  <c r="J35" i="7" s="1"/>
  <c r="B36" i="7"/>
  <c r="B36" i="5"/>
  <c r="F35" i="5"/>
  <c r="G35" i="5" s="1"/>
  <c r="E38" i="6" l="1"/>
  <c r="G38" i="6" s="1"/>
  <c r="H38" i="6" s="1"/>
  <c r="I38" i="6" s="1"/>
  <c r="J38" i="6" s="1"/>
  <c r="C39" i="6"/>
  <c r="C55" i="8"/>
  <c r="E54" i="8"/>
  <c r="C47" i="8"/>
  <c r="E47" i="8" s="1"/>
  <c r="E46" i="8"/>
  <c r="H26" i="11"/>
  <c r="I26" i="11" s="1"/>
  <c r="H30" i="11"/>
  <c r="I30" i="11" s="1"/>
  <c r="D37" i="5"/>
  <c r="B15" i="11"/>
  <c r="E13" i="11"/>
  <c r="H13" i="11" s="1"/>
  <c r="K13" i="11" s="1"/>
  <c r="F14" i="11"/>
  <c r="D14" i="11"/>
  <c r="E14" i="11" s="1"/>
  <c r="G14" i="11" s="1"/>
  <c r="E31" i="11"/>
  <c r="G31" i="11" s="1"/>
  <c r="D47" i="7"/>
  <c r="G46" i="7"/>
  <c r="H46" i="7" s="1"/>
  <c r="I46" i="7" s="1"/>
  <c r="J46" i="7" s="1"/>
  <c r="H12" i="11"/>
  <c r="K12" i="11" s="1"/>
  <c r="B33" i="11"/>
  <c r="D55" i="5"/>
  <c r="D32" i="11"/>
  <c r="E32" i="11" s="1"/>
  <c r="H32" i="11" s="1"/>
  <c r="F32" i="11"/>
  <c r="C14" i="11"/>
  <c r="J14" i="11" s="1"/>
  <c r="H35" i="5"/>
  <c r="I35" i="5" s="1"/>
  <c r="J35" i="5" s="1"/>
  <c r="B36" i="8"/>
  <c r="F35" i="8"/>
  <c r="I35" i="8"/>
  <c r="J35" i="8" s="1"/>
  <c r="F54" i="7"/>
  <c r="B55" i="7"/>
  <c r="B37" i="5"/>
  <c r="F36" i="5"/>
  <c r="G36" i="5" s="1"/>
  <c r="F36" i="7"/>
  <c r="G36" i="7" s="1"/>
  <c r="H36" i="7" s="1"/>
  <c r="I36" i="7" s="1"/>
  <c r="J36" i="7" s="1"/>
  <c r="B37" i="7"/>
  <c r="E39" i="6" l="1"/>
  <c r="G39" i="6" s="1"/>
  <c r="H39" i="6" s="1"/>
  <c r="I39" i="6" s="1"/>
  <c r="J39" i="6" s="1"/>
  <c r="C40" i="6"/>
  <c r="C56" i="8"/>
  <c r="E56" i="8" s="1"/>
  <c r="E55" i="8"/>
  <c r="G32" i="11"/>
  <c r="I32" i="11" s="1"/>
  <c r="H14" i="11"/>
  <c r="I14" i="11" s="1"/>
  <c r="H31" i="11"/>
  <c r="I31" i="11" s="1"/>
  <c r="G13" i="11"/>
  <c r="I13" i="11" s="1"/>
  <c r="L13" i="11" s="1"/>
  <c r="F15" i="11"/>
  <c r="D15" i="11"/>
  <c r="B34" i="11"/>
  <c r="D56" i="5"/>
  <c r="B35" i="11" s="1"/>
  <c r="B16" i="11"/>
  <c r="D38" i="5"/>
  <c r="B17" i="11" s="1"/>
  <c r="D33" i="11"/>
  <c r="F33" i="11"/>
  <c r="D48" i="7"/>
  <c r="G47" i="7"/>
  <c r="H47" i="7" s="1"/>
  <c r="I47" i="7" s="1"/>
  <c r="J47" i="7" s="1"/>
  <c r="I12" i="11"/>
  <c r="L12" i="11" s="1"/>
  <c r="C15" i="11"/>
  <c r="J15" i="11" s="1"/>
  <c r="H36" i="5"/>
  <c r="I36" i="5" s="1"/>
  <c r="J36" i="5" s="1"/>
  <c r="B37" i="8"/>
  <c r="I36" i="8"/>
  <c r="J36" i="8" s="1"/>
  <c r="F36" i="8"/>
  <c r="F37" i="7"/>
  <c r="G37" i="7" s="1"/>
  <c r="H37" i="7" s="1"/>
  <c r="I37" i="7" s="1"/>
  <c r="J37" i="7" s="1"/>
  <c r="B38" i="7"/>
  <c r="B38" i="5"/>
  <c r="F37" i="5"/>
  <c r="G37" i="5" s="1"/>
  <c r="F55" i="7"/>
  <c r="B56" i="7"/>
  <c r="E40" i="6" l="1"/>
  <c r="G40" i="6" s="1"/>
  <c r="H40" i="6" s="1"/>
  <c r="I40" i="6" s="1"/>
  <c r="J40" i="6" s="1"/>
  <c r="C41" i="6"/>
  <c r="K14" i="11"/>
  <c r="L14" i="11" s="1"/>
  <c r="D49" i="7"/>
  <c r="G48" i="7"/>
  <c r="H48" i="7" s="1"/>
  <c r="I48" i="7" s="1"/>
  <c r="J48" i="7" s="1"/>
  <c r="F16" i="11"/>
  <c r="D16" i="11"/>
  <c r="E16" i="11" s="1"/>
  <c r="G16" i="11" s="1"/>
  <c r="D35" i="11"/>
  <c r="E35" i="11" s="1"/>
  <c r="H35" i="11" s="1"/>
  <c r="F35" i="11"/>
  <c r="E33" i="11"/>
  <c r="G33" i="11" s="1"/>
  <c r="D34" i="11"/>
  <c r="E34" i="11" s="1"/>
  <c r="H34" i="11" s="1"/>
  <c r="F34" i="11"/>
  <c r="F17" i="11"/>
  <c r="D17" i="11"/>
  <c r="E17" i="11" s="1"/>
  <c r="H17" i="11" s="1"/>
  <c r="E15" i="11"/>
  <c r="G15" i="11" s="1"/>
  <c r="C16" i="11"/>
  <c r="J16" i="11" s="1"/>
  <c r="H37" i="5"/>
  <c r="I37" i="5" s="1"/>
  <c r="J37" i="5" s="1"/>
  <c r="B38" i="8"/>
  <c r="F37" i="8"/>
  <c r="G37" i="8" s="1"/>
  <c r="H37" i="8" s="1"/>
  <c r="I37" i="8" s="1"/>
  <c r="J37" i="8" s="1"/>
  <c r="F56" i="7"/>
  <c r="B39" i="5"/>
  <c r="F38" i="5"/>
  <c r="G38" i="5" s="1"/>
  <c r="F38" i="7"/>
  <c r="G38" i="7" s="1"/>
  <c r="H38" i="7" s="1"/>
  <c r="I38" i="7" s="1"/>
  <c r="J38" i="7" s="1"/>
  <c r="H16" i="11" l="1"/>
  <c r="I16" i="11" s="1"/>
  <c r="G35" i="11"/>
  <c r="I35" i="11" s="1"/>
  <c r="E41" i="6"/>
  <c r="G41" i="6" s="1"/>
  <c r="H41" i="6" s="1"/>
  <c r="I41" i="6" s="1"/>
  <c r="J41" i="6" s="1"/>
  <c r="C42" i="6"/>
  <c r="G34" i="11"/>
  <c r="I34" i="11" s="1"/>
  <c r="H15" i="11"/>
  <c r="I15" i="11" s="1"/>
  <c r="H33" i="11"/>
  <c r="I33" i="11" s="1"/>
  <c r="G17" i="11"/>
  <c r="I17" i="11" s="1"/>
  <c r="G49" i="7"/>
  <c r="H49" i="7" s="1"/>
  <c r="I49" i="7" s="1"/>
  <c r="J49" i="7" s="1"/>
  <c r="D50" i="7"/>
  <c r="B40" i="5"/>
  <c r="F39" i="5"/>
  <c r="I39" i="5"/>
  <c r="J39" i="5" s="1"/>
  <c r="B39" i="8"/>
  <c r="F38" i="8"/>
  <c r="G38" i="8" s="1"/>
  <c r="H38" i="8" s="1"/>
  <c r="I38" i="8" s="1"/>
  <c r="J38" i="8" s="1"/>
  <c r="C17" i="11"/>
  <c r="J17" i="11" s="1"/>
  <c r="K17" i="11" s="1"/>
  <c r="L17" i="11" s="1"/>
  <c r="H38" i="5"/>
  <c r="I38" i="5" s="1"/>
  <c r="J38" i="5" s="1"/>
  <c r="K16" i="11" l="1"/>
  <c r="L16" i="11" s="1"/>
  <c r="E42" i="6"/>
  <c r="G42" i="6" s="1"/>
  <c r="H42" i="6" s="1"/>
  <c r="I42" i="6" s="1"/>
  <c r="J42" i="6" s="1"/>
  <c r="C43" i="6"/>
  <c r="K15" i="11"/>
  <c r="L15" i="11" s="1"/>
  <c r="D51" i="7"/>
  <c r="G50" i="7"/>
  <c r="H50" i="7" s="1"/>
  <c r="I50" i="7" s="1"/>
  <c r="J50" i="7" s="1"/>
  <c r="B40" i="8"/>
  <c r="F39" i="8"/>
  <c r="G39" i="8" s="1"/>
  <c r="H39" i="8" s="1"/>
  <c r="I39" i="8" s="1"/>
  <c r="J39" i="8" s="1"/>
  <c r="B41" i="5"/>
  <c r="F40" i="5"/>
  <c r="G40" i="5" s="1"/>
  <c r="C19" i="11" l="1"/>
  <c r="J19" i="11" s="1"/>
  <c r="K19" i="11" s="1"/>
  <c r="L19" i="11" s="1"/>
  <c r="H40" i="5"/>
  <c r="I40" i="5" s="1"/>
  <c r="J40" i="5" s="1"/>
  <c r="E43" i="6"/>
  <c r="G43" i="6" s="1"/>
  <c r="H43" i="6" s="1"/>
  <c r="I43" i="6" s="1"/>
  <c r="J43" i="6" s="1"/>
  <c r="C44" i="6"/>
  <c r="D52" i="7"/>
  <c r="G51" i="7"/>
  <c r="H51" i="7" s="1"/>
  <c r="I51" i="7" s="1"/>
  <c r="J51" i="7" s="1"/>
  <c r="B41" i="8"/>
  <c r="F40" i="8"/>
  <c r="G40" i="8" s="1"/>
  <c r="H40" i="8" s="1"/>
  <c r="I40" i="8" s="1"/>
  <c r="J40" i="8" s="1"/>
  <c r="B42" i="5"/>
  <c r="F41" i="5"/>
  <c r="G41" i="5" s="1"/>
  <c r="C20" i="11" l="1"/>
  <c r="J20" i="11" s="1"/>
  <c r="K20" i="11" s="1"/>
  <c r="L20" i="11" s="1"/>
  <c r="H41" i="5"/>
  <c r="I41" i="5" s="1"/>
  <c r="J41" i="5" s="1"/>
  <c r="E44" i="6"/>
  <c r="G44" i="6" s="1"/>
  <c r="H44" i="6" s="1"/>
  <c r="I44" i="6" s="1"/>
  <c r="J44" i="6" s="1"/>
  <c r="C45" i="6"/>
  <c r="D53" i="7"/>
  <c r="G52" i="7"/>
  <c r="H52" i="7" s="1"/>
  <c r="I52" i="7" s="1"/>
  <c r="J52" i="7" s="1"/>
  <c r="B43" i="5"/>
  <c r="F42" i="5"/>
  <c r="G42" i="5" s="1"/>
  <c r="B42" i="8"/>
  <c r="F41" i="8"/>
  <c r="G41" i="8" s="1"/>
  <c r="H41" i="8" s="1"/>
  <c r="I41" i="8" s="1"/>
  <c r="J41" i="8" s="1"/>
  <c r="E45" i="6" l="1"/>
  <c r="G45" i="6" s="1"/>
  <c r="H45" i="6" s="1"/>
  <c r="I45" i="6" s="1"/>
  <c r="J45" i="6" s="1"/>
  <c r="C46" i="6"/>
  <c r="D54" i="7"/>
  <c r="G53" i="7"/>
  <c r="H53" i="7" s="1"/>
  <c r="I53" i="7" s="1"/>
  <c r="J53" i="7" s="1"/>
  <c r="C21" i="11"/>
  <c r="J21" i="11" s="1"/>
  <c r="K21" i="11" s="1"/>
  <c r="L21" i="11" s="1"/>
  <c r="H42" i="5"/>
  <c r="I42" i="5" s="1"/>
  <c r="J42" i="5" s="1"/>
  <c r="B44" i="5"/>
  <c r="C3" i="4"/>
  <c r="F43" i="5"/>
  <c r="G43" i="5" s="1"/>
  <c r="B43" i="8"/>
  <c r="F42" i="8"/>
  <c r="G42" i="8" s="1"/>
  <c r="H42" i="8" s="1"/>
  <c r="I42" i="8" s="1"/>
  <c r="J42" i="8" s="1"/>
  <c r="E46" i="4" l="1"/>
  <c r="E58" i="4" s="1"/>
  <c r="D46" i="4"/>
  <c r="D58" i="4" s="1"/>
  <c r="E47" i="4"/>
  <c r="E59" i="4" s="1"/>
  <c r="E45" i="4"/>
  <c r="E57" i="4" s="1"/>
  <c r="D47" i="4"/>
  <c r="D59" i="4" s="1"/>
  <c r="D48" i="4"/>
  <c r="D60" i="4" s="1"/>
  <c r="F44" i="4"/>
  <c r="F56" i="4" s="1"/>
  <c r="E48" i="4"/>
  <c r="E60" i="4" s="1"/>
  <c r="E44" i="4"/>
  <c r="E56" i="4" s="1"/>
  <c r="C49" i="4"/>
  <c r="C61" i="4" s="1"/>
  <c r="D49" i="4"/>
  <c r="D61" i="4" s="1"/>
  <c r="E49" i="4"/>
  <c r="E61" i="4" s="1"/>
  <c r="F43" i="4"/>
  <c r="F55" i="4" s="1"/>
  <c r="C50" i="4"/>
  <c r="C62" i="4" s="1"/>
  <c r="D50" i="4"/>
  <c r="D62" i="4" s="1"/>
  <c r="C47" i="6"/>
  <c r="E46" i="6"/>
  <c r="G46" i="6" s="1"/>
  <c r="H46" i="6" s="1"/>
  <c r="I46" i="6" s="1"/>
  <c r="J46" i="6" s="1"/>
  <c r="D55" i="7"/>
  <c r="G54" i="7"/>
  <c r="H54" i="7" s="1"/>
  <c r="I54" i="7" s="1"/>
  <c r="J54" i="7" s="1"/>
  <c r="B20" i="9"/>
  <c r="H43" i="5"/>
  <c r="I43" i="5" s="1"/>
  <c r="C22" i="11"/>
  <c r="J22" i="11" s="1"/>
  <c r="K22" i="11" s="1"/>
  <c r="L22" i="11" s="1"/>
  <c r="F44" i="5"/>
  <c r="G44" i="5" s="1"/>
  <c r="B45" i="5"/>
  <c r="B44" i="8"/>
  <c r="F43" i="8"/>
  <c r="G43" i="8" s="1"/>
  <c r="H43" i="8" s="1"/>
  <c r="I43" i="8" s="1"/>
  <c r="J43" i="8" s="1"/>
  <c r="G46" i="4"/>
  <c r="G58" i="4" s="1"/>
  <c r="I46" i="4"/>
  <c r="I58" i="4" s="1"/>
  <c r="K46" i="4"/>
  <c r="K58" i="4" s="1"/>
  <c r="G47" i="4"/>
  <c r="G59" i="4" s="1"/>
  <c r="I47" i="4"/>
  <c r="I59" i="4" s="1"/>
  <c r="K47" i="4"/>
  <c r="K59" i="4" s="1"/>
  <c r="G45" i="4"/>
  <c r="G57" i="4" s="1"/>
  <c r="I45" i="4"/>
  <c r="I57" i="4" s="1"/>
  <c r="K45" i="4"/>
  <c r="K57" i="4" s="1"/>
  <c r="G44" i="4"/>
  <c r="G56" i="4" s="1"/>
  <c r="I44" i="4"/>
  <c r="I56" i="4" s="1"/>
  <c r="K44" i="4"/>
  <c r="K56" i="4" s="1"/>
  <c r="G48" i="4"/>
  <c r="G60" i="4" s="1"/>
  <c r="I48" i="4"/>
  <c r="I60" i="4" s="1"/>
  <c r="K48" i="4"/>
  <c r="K60" i="4" s="1"/>
  <c r="F46" i="4"/>
  <c r="F58" i="4" s="1"/>
  <c r="H46" i="4"/>
  <c r="H58" i="4" s="1"/>
  <c r="J46" i="4"/>
  <c r="J58" i="4" s="1"/>
  <c r="F47" i="4"/>
  <c r="F59" i="4" s="1"/>
  <c r="H47" i="4"/>
  <c r="H59" i="4" s="1"/>
  <c r="J47" i="4"/>
  <c r="J59" i="4" s="1"/>
  <c r="F45" i="4"/>
  <c r="F57" i="4" s="1"/>
  <c r="J45" i="4"/>
  <c r="J57" i="4" s="1"/>
  <c r="H44" i="4"/>
  <c r="H56" i="4" s="1"/>
  <c r="H48" i="4"/>
  <c r="H60" i="4" s="1"/>
  <c r="G49" i="4"/>
  <c r="G61" i="4" s="1"/>
  <c r="I49" i="4"/>
  <c r="I61" i="4" s="1"/>
  <c r="K49" i="4"/>
  <c r="K61" i="4" s="1"/>
  <c r="G43" i="4"/>
  <c r="G55" i="4" s="1"/>
  <c r="I43" i="4"/>
  <c r="I55" i="4" s="1"/>
  <c r="K43" i="4"/>
  <c r="K55" i="4" s="1"/>
  <c r="H42" i="4"/>
  <c r="H54" i="4" s="1"/>
  <c r="J42" i="4"/>
  <c r="J54" i="4" s="1"/>
  <c r="E50" i="4"/>
  <c r="E62" i="4" s="1"/>
  <c r="G50" i="4"/>
  <c r="G62" i="4" s="1"/>
  <c r="I50" i="4"/>
  <c r="I62" i="4" s="1"/>
  <c r="K50" i="4"/>
  <c r="K62" i="4" s="1"/>
  <c r="H45" i="4"/>
  <c r="H57" i="4" s="1"/>
  <c r="J44" i="4"/>
  <c r="J56" i="4" s="1"/>
  <c r="F48" i="4"/>
  <c r="F60" i="4" s="1"/>
  <c r="J48" i="4"/>
  <c r="J60" i="4" s="1"/>
  <c r="F49" i="4"/>
  <c r="F61" i="4" s="1"/>
  <c r="H49" i="4"/>
  <c r="H61" i="4" s="1"/>
  <c r="J49" i="4"/>
  <c r="J61" i="4" s="1"/>
  <c r="H43" i="4"/>
  <c r="H55" i="4" s="1"/>
  <c r="J43" i="4"/>
  <c r="J55" i="4" s="1"/>
  <c r="G42" i="4"/>
  <c r="G54" i="4" s="1"/>
  <c r="I42" i="4"/>
  <c r="I54" i="4" s="1"/>
  <c r="K42" i="4"/>
  <c r="K54" i="4" s="1"/>
  <c r="F50" i="4"/>
  <c r="F62" i="4" s="1"/>
  <c r="H50" i="4"/>
  <c r="H62" i="4" s="1"/>
  <c r="J50" i="4"/>
  <c r="J62" i="4" s="1"/>
  <c r="E47" i="6" l="1"/>
  <c r="G47" i="6" s="1"/>
  <c r="H47" i="6" s="1"/>
  <c r="I47" i="6" s="1"/>
  <c r="J47" i="6" s="1"/>
  <c r="C48" i="6"/>
  <c r="D56" i="7"/>
  <c r="G56" i="7" s="1"/>
  <c r="H56" i="7" s="1"/>
  <c r="I56" i="7" s="1"/>
  <c r="J56" i="7" s="1"/>
  <c r="G55" i="7"/>
  <c r="H55" i="7" s="1"/>
  <c r="I55" i="7" s="1"/>
  <c r="J55" i="7" s="1"/>
  <c r="C23" i="11"/>
  <c r="J23" i="11" s="1"/>
  <c r="K23" i="11" s="1"/>
  <c r="L23" i="11" s="1"/>
  <c r="H44" i="5"/>
  <c r="I44" i="5" s="1"/>
  <c r="J44" i="5" s="1"/>
  <c r="B30" i="9"/>
  <c r="J43" i="5"/>
  <c r="B45" i="8"/>
  <c r="F44" i="8"/>
  <c r="G44" i="8" s="1"/>
  <c r="H44" i="8" s="1"/>
  <c r="I44" i="8" s="1"/>
  <c r="J44" i="8" s="1"/>
  <c r="F45" i="5"/>
  <c r="G45" i="5" s="1"/>
  <c r="B46" i="5"/>
  <c r="E20" i="9"/>
  <c r="B23" i="9"/>
  <c r="E48" i="6" l="1"/>
  <c r="G48" i="6" s="1"/>
  <c r="H48" i="6" s="1"/>
  <c r="I48" i="6" s="1"/>
  <c r="J48" i="6" s="1"/>
  <c r="C49" i="6"/>
  <c r="F46" i="5"/>
  <c r="G46" i="5" s="1"/>
  <c r="B47" i="5"/>
  <c r="B46" i="8"/>
  <c r="F45" i="8"/>
  <c r="G45" i="8" s="1"/>
  <c r="H45" i="8" s="1"/>
  <c r="I45" i="8" s="1"/>
  <c r="J45" i="8" s="1"/>
  <c r="E23" i="9"/>
  <c r="B42" i="9"/>
  <c r="A17" i="12" s="1"/>
  <c r="B24" i="9"/>
  <c r="C24" i="11"/>
  <c r="J24" i="11" s="1"/>
  <c r="K24" i="11" s="1"/>
  <c r="L24" i="11" s="1"/>
  <c r="H45" i="5"/>
  <c r="I45" i="5" s="1"/>
  <c r="J45" i="5" s="1"/>
  <c r="B23" i="2"/>
  <c r="B25" i="2" s="1"/>
  <c r="B31" i="9"/>
  <c r="E49" i="6" l="1"/>
  <c r="G49" i="6" s="1"/>
  <c r="H49" i="6" s="1"/>
  <c r="I49" i="6" s="1"/>
  <c r="J49" i="6" s="1"/>
  <c r="C50" i="6"/>
  <c r="C25" i="11"/>
  <c r="J25" i="11" s="1"/>
  <c r="K25" i="11" s="1"/>
  <c r="L25" i="11" s="1"/>
  <c r="H46" i="5"/>
  <c r="I46" i="5" s="1"/>
  <c r="J46" i="5" s="1"/>
  <c r="B27" i="2"/>
  <c r="B28" i="2" s="1"/>
  <c r="B30" i="2"/>
  <c r="B31" i="2" s="1"/>
  <c r="B32" i="2" s="1"/>
  <c r="B34" i="2" s="1"/>
  <c r="B47" i="8"/>
  <c r="F46" i="8"/>
  <c r="G46" i="8" s="1"/>
  <c r="H46" i="8" s="1"/>
  <c r="I46" i="8" s="1"/>
  <c r="J46" i="8" s="1"/>
  <c r="F47" i="5"/>
  <c r="G47" i="5" s="1"/>
  <c r="B48" i="5"/>
  <c r="E50" i="6" l="1"/>
  <c r="G50" i="6" s="1"/>
  <c r="H50" i="6" s="1"/>
  <c r="I50" i="6" s="1"/>
  <c r="J50" i="6" s="1"/>
  <c r="C51" i="6"/>
  <c r="C26" i="11"/>
  <c r="J26" i="11" s="1"/>
  <c r="K26" i="11" s="1"/>
  <c r="L26" i="11" s="1"/>
  <c r="H47" i="5"/>
  <c r="I47" i="5" s="1"/>
  <c r="J47" i="5" s="1"/>
  <c r="F48" i="5"/>
  <c r="G48" i="5" s="1"/>
  <c r="B49" i="5"/>
  <c r="B48" i="8"/>
  <c r="F47" i="8"/>
  <c r="G47" i="8" s="1"/>
  <c r="H47" i="8" s="1"/>
  <c r="I47" i="8" s="1"/>
  <c r="J47" i="8" s="1"/>
  <c r="C27" i="11" l="1"/>
  <c r="J27" i="11" s="1"/>
  <c r="K27" i="11" s="1"/>
  <c r="L27" i="11" s="1"/>
  <c r="H48" i="5"/>
  <c r="I48" i="5" s="1"/>
  <c r="J48" i="5" s="1"/>
  <c r="E51" i="6"/>
  <c r="G51" i="6" s="1"/>
  <c r="H51" i="6" s="1"/>
  <c r="I51" i="6" s="1"/>
  <c r="J51" i="6" s="1"/>
  <c r="C52" i="6"/>
  <c r="B49" i="8"/>
  <c r="F48" i="8"/>
  <c r="G48" i="8" s="1"/>
  <c r="H48" i="8" s="1"/>
  <c r="I48" i="8" s="1"/>
  <c r="J48" i="8" s="1"/>
  <c r="F49" i="5"/>
  <c r="G49" i="5" s="1"/>
  <c r="B50" i="5"/>
  <c r="C28" i="11" l="1"/>
  <c r="J28" i="11" s="1"/>
  <c r="K28" i="11" s="1"/>
  <c r="L28" i="11" s="1"/>
  <c r="H49" i="5"/>
  <c r="I49" i="5" s="1"/>
  <c r="J49" i="5" s="1"/>
  <c r="E52" i="6"/>
  <c r="G52" i="6" s="1"/>
  <c r="H52" i="6" s="1"/>
  <c r="I52" i="6" s="1"/>
  <c r="J52" i="6" s="1"/>
  <c r="C53" i="6"/>
  <c r="B50" i="8"/>
  <c r="F49" i="8"/>
  <c r="G49" i="8" s="1"/>
  <c r="H49" i="8" s="1"/>
  <c r="I49" i="8" s="1"/>
  <c r="J49" i="8" s="1"/>
  <c r="F50" i="5"/>
  <c r="G50" i="5" s="1"/>
  <c r="B51" i="5"/>
  <c r="E53" i="6" l="1"/>
  <c r="G53" i="6" s="1"/>
  <c r="H53" i="6" s="1"/>
  <c r="I53" i="6" s="1"/>
  <c r="J53" i="6" s="1"/>
  <c r="C54" i="6"/>
  <c r="C29" i="11"/>
  <c r="J29" i="11" s="1"/>
  <c r="K29" i="11" s="1"/>
  <c r="L29" i="11" s="1"/>
  <c r="H50" i="5"/>
  <c r="I50" i="5" s="1"/>
  <c r="J50" i="5" s="1"/>
  <c r="F51" i="5"/>
  <c r="G51" i="5" s="1"/>
  <c r="B52" i="5"/>
  <c r="B51" i="8"/>
  <c r="F50" i="8"/>
  <c r="G50" i="8" s="1"/>
  <c r="H50" i="8" s="1"/>
  <c r="I50" i="8" s="1"/>
  <c r="J50" i="8" s="1"/>
  <c r="E54" i="6" l="1"/>
  <c r="G54" i="6" s="1"/>
  <c r="H54" i="6" s="1"/>
  <c r="I54" i="6" s="1"/>
  <c r="J54" i="6" s="1"/>
  <c r="C55" i="6"/>
  <c r="C30" i="11"/>
  <c r="J30" i="11" s="1"/>
  <c r="K30" i="11" s="1"/>
  <c r="L30" i="11" s="1"/>
  <c r="H51" i="5"/>
  <c r="I51" i="5" s="1"/>
  <c r="J51" i="5" s="1"/>
  <c r="B52" i="8"/>
  <c r="F51" i="8"/>
  <c r="G51" i="8" s="1"/>
  <c r="H51" i="8" s="1"/>
  <c r="I51" i="8" s="1"/>
  <c r="J51" i="8" s="1"/>
  <c r="F52" i="5"/>
  <c r="G52" i="5" s="1"/>
  <c r="B53" i="5"/>
  <c r="E55" i="6" l="1"/>
  <c r="G55" i="6" s="1"/>
  <c r="H55" i="6" s="1"/>
  <c r="I55" i="6" s="1"/>
  <c r="J55" i="6" s="1"/>
  <c r="C56" i="6"/>
  <c r="E56" i="6" s="1"/>
  <c r="G56" i="6" s="1"/>
  <c r="H56" i="6" s="1"/>
  <c r="I56" i="6" s="1"/>
  <c r="J56" i="6" s="1"/>
  <c r="F53" i="5"/>
  <c r="G53" i="5" s="1"/>
  <c r="B54" i="5"/>
  <c r="B53" i="8"/>
  <c r="F52" i="8"/>
  <c r="G52" i="8" s="1"/>
  <c r="H52" i="8" s="1"/>
  <c r="I52" i="8" s="1"/>
  <c r="J52" i="8" s="1"/>
  <c r="C31" i="11"/>
  <c r="J31" i="11" s="1"/>
  <c r="K31" i="11" s="1"/>
  <c r="L31" i="11" s="1"/>
  <c r="H52" i="5"/>
  <c r="I52" i="5" s="1"/>
  <c r="J52" i="5" s="1"/>
  <c r="C32" i="11" l="1"/>
  <c r="J32" i="11" s="1"/>
  <c r="K32" i="11" s="1"/>
  <c r="L32" i="11" s="1"/>
  <c r="H53" i="5"/>
  <c r="I53" i="5" s="1"/>
  <c r="J53" i="5" s="1"/>
  <c r="B54" i="8"/>
  <c r="F53" i="8"/>
  <c r="G53" i="8" s="1"/>
  <c r="H53" i="8" s="1"/>
  <c r="I53" i="8" s="1"/>
  <c r="J53" i="8" s="1"/>
  <c r="F54" i="5"/>
  <c r="G54" i="5" s="1"/>
  <c r="B55" i="5"/>
  <c r="C33" i="11" l="1"/>
  <c r="J33" i="11" s="1"/>
  <c r="K33" i="11" s="1"/>
  <c r="L33" i="11" s="1"/>
  <c r="H54" i="5"/>
  <c r="I54" i="5" s="1"/>
  <c r="J54" i="5" s="1"/>
  <c r="F55" i="5"/>
  <c r="G55" i="5" s="1"/>
  <c r="B56" i="5"/>
  <c r="B55" i="8"/>
  <c r="F54" i="8"/>
  <c r="G54" i="8" s="1"/>
  <c r="H54" i="8" s="1"/>
  <c r="I54" i="8" s="1"/>
  <c r="J54" i="8" s="1"/>
  <c r="C34" i="11" l="1"/>
  <c r="J34" i="11" s="1"/>
  <c r="K34" i="11" s="1"/>
  <c r="L34" i="11" s="1"/>
  <c r="H55" i="5"/>
  <c r="I55" i="5" s="1"/>
  <c r="J55" i="5" s="1"/>
  <c r="B56" i="8"/>
  <c r="F55" i="8"/>
  <c r="G55" i="8" s="1"/>
  <c r="H55" i="8" s="1"/>
  <c r="I55" i="8" s="1"/>
  <c r="J55" i="8" s="1"/>
  <c r="F56" i="5"/>
  <c r="G56" i="5" s="1"/>
  <c r="H56" i="5" l="1"/>
  <c r="I56" i="5" s="1"/>
  <c r="J56" i="5" s="1"/>
  <c r="C35" i="11"/>
  <c r="J35" i="11" s="1"/>
  <c r="K35" i="11" s="1"/>
  <c r="L35" i="11" s="1"/>
  <c r="F56" i="8"/>
  <c r="G56" i="8" s="1"/>
  <c r="H56" i="8" s="1"/>
  <c r="I56" i="8" s="1"/>
  <c r="J56" i="8" s="1"/>
</calcChain>
</file>

<file path=xl/comments1.xml><?xml version="1.0" encoding="utf-8"?>
<comments xmlns="http://schemas.openxmlformats.org/spreadsheetml/2006/main">
  <authors>
    <author>The University of Adelaide , A</author>
  </authors>
  <commentList>
    <comment ref="J22"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<sst xmlns="http://schemas.openxmlformats.org/spreadsheetml/2006/main" count="506" uniqueCount="281">
  <si>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</si>
  <si>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</si>
  <si>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</si>
  <si>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</si>
  <si>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</si>
  <si>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</si>
  <si>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</si>
  <si>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</si>
  <si>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</si>
  <si>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</si>
  <si>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</si>
  <si>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</si>
  <si>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</si>
  <si>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</si>
  <si>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</si>
  <si>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</si>
  <si>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</si>
  <si>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</si>
  <si>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</si>
  <si>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</si>
  <si>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</si>
  <si>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</si>
  <si>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</si>
  <si>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</si>
  <si>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</si>
  <si>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</si>
  <si>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</si>
  <si>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</si>
  <si>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</si>
  <si>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</si>
  <si>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</si>
  <si>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</si>
  <si>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</si>
  <si>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</si>
  <si>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</si>
  <si>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</si>
  <si>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</si>
  <si>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</si>
  <si>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</si>
  <si>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</si>
  <si>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</si>
  <si>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</si>
  <si>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</si>
  <si>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</si>
  <si>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</si>
  <si>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</si>
  <si>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</si>
  <si>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</si>
  <si>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</si>
  <si>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</si>
  <si>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</si>
  <si>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</si>
  <si>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</si>
  <si>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</si>
  <si>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</si>
  <si>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</si>
  <si>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</si>
  <si>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</si>
  <si>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</si>
  <si>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</si>
  <si>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</si>
  <si>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</si>
  <si>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</si>
  <si>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</si>
  <si>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</si>
  <si>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</si>
  <si>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</si>
  <si>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</si>
  <si>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</si>
  <si>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</si>
  <si>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</si>
  <si>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</si>
  <si>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</si>
  <si>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</si>
  <si>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</si>
  <si>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</si>
  <si>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</si>
  <si>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</si>
  <si>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</si>
  <si>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</si>
  <si>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</si>
  <si>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</si>
  <si>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</si>
  <si>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</si>
  <si>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</si>
  <si>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</si>
  <si>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</si>
  <si>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</si>
  <si>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</si>
  <si>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</si>
  <si>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</si>
  <si>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</si>
  <si>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</si>
  <si>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</si>
  <si>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</si>
  <si>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</si>
  <si>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</si>
  <si>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</si>
  <si>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</si>
  <si>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</si>
  <si>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</si>
  <si>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</si>
  <si>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</si>
  <si>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</si>
  <si>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</si>
  <si>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</si>
  <si>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</si>
  <si>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</si>
  <si>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</si>
  <si>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</si>
  <si>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</si>
  <si>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</si>
  <si>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</si>
  <si>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</si>
  <si>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</si>
  <si>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</si>
  <si>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</si>
  <si>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Number</t>
  </si>
  <si>
    <t>Weight</t>
  </si>
  <si>
    <t>kg</t>
  </si>
  <si>
    <t>Total Weight</t>
  </si>
  <si>
    <t>Manure</t>
  </si>
  <si>
    <t>Total</t>
  </si>
  <si>
    <t>kg per 1000 kg L/W per day</t>
  </si>
  <si>
    <t>TS</t>
  </si>
  <si>
    <t>VS</t>
  </si>
  <si>
    <t>Output</t>
  </si>
  <si>
    <t>kg (per day)</t>
  </si>
  <si>
    <t>(from ASEA Standard D384.1 DEC93)</t>
  </si>
  <si>
    <t>No.</t>
  </si>
  <si>
    <t>N</t>
  </si>
  <si>
    <t>P</t>
  </si>
  <si>
    <t>TS/Tot</t>
  </si>
  <si>
    <t>VS/TS</t>
  </si>
  <si>
    <t>N (Kjeldahl Nitrogen)</t>
  </si>
  <si>
    <t>P (Total Phosphorus)</t>
  </si>
  <si>
    <t>Veal</t>
  </si>
  <si>
    <t>K (Potassium)</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</si>
  <si>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</si>
  <si>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</si>
  <si>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</si>
  <si>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</si>
  <si>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</si>
  <si>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</si>
  <si>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</si>
  <si>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</si>
  <si>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</si>
  <si>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</si>
  <si>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</si>
  <si>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</si>
  <si>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</si>
  <si>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</si>
  <si>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</si>
  <si>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</si>
  <si>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</si>
  <si>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</si>
  <si>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</si>
  <si>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</si>
  <si>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</si>
  <si>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</si>
  <si>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</si>
  <si>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</si>
  <si>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</si>
  <si>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</si>
  <si>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</si>
  <si>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</si>
  <si>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</si>
  <si>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</si>
  <si>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</si>
  <si>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</si>
  <si>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</si>
  <si>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</si>
  <si>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</si>
  <si>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</si>
  <si>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</si>
  <si>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</si>
  <si>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</si>
  <si>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</si>
  <si>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</si>
  <si>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</si>
  <si>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</si>
  <si>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</si>
  <si>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</si>
  <si>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</si>
  <si>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</si>
  <si>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</si>
  <si>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</si>
  <si>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</si>
  <si>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</si>
  <si>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</si>
  <si>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</si>
  <si>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</si>
  <si>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</si>
  <si>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</si>
  <si>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</si>
  <si>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</si>
  <si>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</si>
  <si>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</si>
  <si>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</si>
  <si>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</si>
  <si>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</si>
  <si>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</si>
  <si>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</si>
  <si>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</si>
  <si>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</si>
  <si>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</si>
  <si>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</si>
  <si>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</si>
  <si>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</si>
  <si>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</si>
  <si>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</si>
  <si>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</si>
  <si>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</si>
  <si>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</si>
  <si>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</si>
  <si>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</si>
  <si>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</si>
  <si>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</si>
  <si>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</si>
  <si>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</si>
  <si>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</si>
  <si>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</si>
  <si>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</si>
  <si>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</si>
  <si>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</si>
  <si>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</si>
  <si>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</si>
  <si>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</si>
  <si>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</si>
  <si>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</si>
  <si>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</si>
  <si>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</si>
  <si>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</si>
  <si>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</si>
  <si>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</si>
  <si>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</si>
  <si>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</si>
  <si>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</si>
  <si>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</si>
  <si>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</si>
  <si>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</si>
  <si>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</si>
  <si>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</si>
  <si>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</si>
  <si>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</si>
  <si>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</si>
  <si>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</si>
  <si>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</si>
  <si>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</si>
  <si>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</si>
  <si>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</si>
  <si>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</si>
  <si>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</si>
  <si>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</si>
  <si>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</si>
  <si>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</si>
  <si>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</si>
  <si>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</si>
  <si>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</si>
  <si>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</si>
  <si>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</si>
  <si>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</si>
  <si>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</si>
  <si>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</si>
  <si>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</si>
  <si>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</si>
  <si>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</si>
  <si>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</si>
  <si>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</si>
  <si>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</si>
  <si>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</si>
  <si>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</si>
  <si>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</si>
  <si>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</si>
  <si>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</si>
  <si>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</si>
  <si>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</si>
  <si>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</si>
  <si>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</si>
  <si>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</si>
  <si>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have to find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</si>
</sst>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s>
  <fonts count="26"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s>
  <fills count="6">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258">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 fontId="0" fillId="2" borderId="0" xfId="0" applyNumberFormat="1" applyFill="1" applyAlignment="1" applyProtection="1">
      <alignment horizontal="center"/>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19" fillId="0" borderId="0" xfId="3" applyBorder="1" applyAlignment="1" applyProtection="1">
      <alignment horizontal="center"/>
    </xf>
    <xf numFmtId="0" fontId="2" fillId="0" borderId="0" xfId="0" applyFont="1"/>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ResponseSurfaceVSRT!$C$42:$K$42</c:f>
              <c:numCache>
                <c:formatCode>0.00</c:formatCode>
                <c:ptCount val="9"/>
                <c:pt idx="0">
                  <c:v>1.1757747899003355</c:v>
                </c:pt>
                <c:pt idx="1">
                  <c:v>1.3416987182728972</c:v>
                </c:pt>
                <c:pt idx="2">
                  <c:v>1.4789185274372934</c:v>
                </c:pt>
                <c:pt idx="3">
                  <c:v>1.5662328657747282</c:v>
                </c:pt>
                <c:pt idx="4">
                  <c:v>1.5753379830048184</c:v>
                </c:pt>
                <c:pt idx="5">
                  <c:v>1.4804631158411228</c:v>
                </c:pt>
                <c:pt idx="6">
                  <c:v>1.2788494203272149</c:v>
                </c:pt>
                <c:pt idx="7">
                  <c:v>1.006676951861369</c:v>
                </c:pt>
                <c:pt idx="8">
                  <c:v>0.72546062628493813</c:v>
                </c:pt>
              </c:numCache>
            </c:numRef>
          </c:val>
          <c:extLst>
            <c:ext xmlns:c16="http://schemas.microsoft.com/office/drawing/2014/chart" uri="{C3380CC4-5D6E-409C-BE32-E72D297353CC}">
              <c16:uniqueId val="{00000000-AF7E-475B-A987-D2BCB90D02A4}"/>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ResponseSurfaceVSRT!$C$43:$K$43</c:f>
              <c:numCache>
                <c:formatCode>0.00</c:formatCode>
                <c:ptCount val="9"/>
                <c:pt idx="0">
                  <c:v>1.4289566477482984</c:v>
                </c:pt>
                <c:pt idx="1">
                  <c:v>1.6437890982943426</c:v>
                </c:pt>
                <c:pt idx="2">
                  <c:v>1.8373664921268502</c:v>
                </c:pt>
                <c:pt idx="3">
                  <c:v>1.9919799252326498</c:v>
                </c:pt>
                <c:pt idx="4">
                  <c:v>2.079781971109719</c:v>
                </c:pt>
                <c:pt idx="5">
                  <c:v>2.0646489997536452</c:v>
                </c:pt>
                <c:pt idx="6">
                  <c:v>1.9157992938454453</c:v>
                </c:pt>
                <c:pt idx="7">
                  <c:v>1.6344577979813102</c:v>
                </c:pt>
                <c:pt idx="8">
                  <c:v>1.2717278550183289</c:v>
                </c:pt>
              </c:numCache>
            </c:numRef>
          </c:val>
          <c:extLst>
            <c:ext xmlns:c16="http://schemas.microsoft.com/office/drawing/2014/chart" uri="{C3380CC4-5D6E-409C-BE32-E72D297353CC}">
              <c16:uniqueId val="{00000001-AF7E-475B-A987-D2BCB90D02A4}"/>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ResponseSurfaceVSRT!$C$44:$K$44</c:f>
              <c:numCache>
                <c:formatCode>0.00</c:formatCode>
                <c:ptCount val="9"/>
                <c:pt idx="0">
                  <c:v>1.2666484359702972</c:v>
                </c:pt>
                <c:pt idx="1">
                  <c:v>1.4619210379524399</c:v>
                </c:pt>
                <c:pt idx="2">
                  <c:v>1.6436538653016062</c:v>
                </c:pt>
                <c:pt idx="3">
                  <c:v>1.8000083266891316</c:v>
                </c:pt>
                <c:pt idx="4">
                  <c:v>1.9111312563911291</c:v>
                </c:pt>
                <c:pt idx="5">
                  <c:v>1.9478675375910373</c:v>
                </c:pt>
                <c:pt idx="6">
                  <c:v>1.8771347352709729</c:v>
                </c:pt>
                <c:pt idx="7">
                  <c:v>1.6800860232391941</c:v>
                </c:pt>
                <c:pt idx="8">
                  <c:v>1.3768785208188188</c:v>
                </c:pt>
              </c:numCache>
            </c:numRef>
          </c:val>
          <c:extLst>
            <c:ext xmlns:c16="http://schemas.microsoft.com/office/drawing/2014/chart" uri="{C3380CC4-5D6E-409C-BE32-E72D297353CC}">
              <c16:uniqueId val="{00000002-AF7E-475B-A987-D2BCB90D02A4}"/>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ResponseSurfaceVSRT!$C$45:$K$45</c:f>
              <c:numCache>
                <c:formatCode>0.00</c:formatCode>
                <c:ptCount val="9"/>
                <c:pt idx="0">
                  <c:v>1.0973842011388364</c:v>
                </c:pt>
                <c:pt idx="1">
                  <c:v>1.2688570689839926</c:v>
                </c:pt>
                <c:pt idx="2">
                  <c:v>1.4311765239206176</c:v>
                </c:pt>
                <c:pt idx="3">
                  <c:v>1.5761280696196571</c:v>
                </c:pt>
                <c:pt idx="4">
                  <c:v>1.6894512692028612</c:v>
                </c:pt>
                <c:pt idx="5">
                  <c:v>1.7488001399252435</c:v>
                </c:pt>
                <c:pt idx="6">
                  <c:v>1.7252320114957267</c:v>
                </c:pt>
                <c:pt idx="7">
                  <c:v>1.5940700647836494</c:v>
                </c:pt>
                <c:pt idx="8">
                  <c:v>1.3563352145372491</c:v>
                </c:pt>
              </c:numCache>
            </c:numRef>
          </c:val>
          <c:extLst>
            <c:ext xmlns:c16="http://schemas.microsoft.com/office/drawing/2014/chart" uri="{C3380CC4-5D6E-409C-BE32-E72D297353CC}">
              <c16:uniqueId val="{00000003-AF7E-475B-A987-D2BCB90D02A4}"/>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ResponseSurfaceVSRT!$C$46:$K$46</c:f>
              <c:numCache>
                <c:formatCode>0.00</c:formatCode>
                <c:ptCount val="9"/>
                <c:pt idx="0">
                  <c:v>0.95826747544732094</c:v>
                </c:pt>
                <c:pt idx="1">
                  <c:v>1.1092663911264375</c:v>
                </c:pt>
                <c:pt idx="2">
                  <c:v>1.2537122913055865</c:v>
                </c:pt>
                <c:pt idx="3">
                  <c:v>1.3856276933065639</c:v>
                </c:pt>
                <c:pt idx="4">
                  <c:v>1.4944086545953059</c:v>
                </c:pt>
                <c:pt idx="5">
                  <c:v>1.5627581793044825</c:v>
                </c:pt>
                <c:pt idx="6">
                  <c:v>1.5664512739653293</c:v>
                </c:pt>
                <c:pt idx="7">
                  <c:v>1.4805757433884825</c:v>
                </c:pt>
                <c:pt idx="8">
                  <c:v>1.296065831947357</c:v>
                </c:pt>
              </c:numCache>
            </c:numRef>
          </c:val>
          <c:extLst>
            <c:ext xmlns:c16="http://schemas.microsoft.com/office/drawing/2014/chart" uri="{C3380CC4-5D6E-409C-BE32-E72D297353CC}">
              <c16:uniqueId val="{00000004-AF7E-475B-A987-D2BCB90D02A4}"/>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ResponseSurfaceVSRT!$C$47:$K$47</c:f>
              <c:numCache>
                <c:formatCode>0.00</c:formatCode>
                <c:ptCount val="9"/>
                <c:pt idx="0">
                  <c:v>0.84703839185134544</c:v>
                </c:pt>
                <c:pt idx="1">
                  <c:v>0.9812792967309123</c:v>
                </c:pt>
                <c:pt idx="2">
                  <c:v>1.1106121660332082</c:v>
                </c:pt>
                <c:pt idx="3">
                  <c:v>1.2305097542274537</c:v>
                </c:pt>
                <c:pt idx="4">
                  <c:v>1.3328208825936225</c:v>
                </c:pt>
                <c:pt idx="5">
                  <c:v>1.4038807348979667</c:v>
                </c:pt>
                <c:pt idx="6">
                  <c:v>1.4235279222817949</c:v>
                </c:pt>
                <c:pt idx="7">
                  <c:v>1.36855033029962</c:v>
                </c:pt>
                <c:pt idx="8">
                  <c:v>1.2249692706397617</c:v>
                </c:pt>
              </c:numCache>
            </c:numRef>
          </c:val>
          <c:extLst>
            <c:ext xmlns:c16="http://schemas.microsoft.com/office/drawing/2014/chart" uri="{C3380CC4-5D6E-409C-BE32-E72D297353CC}">
              <c16:uniqueId val="{00000005-AF7E-475B-A987-D2BCB90D02A4}"/>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ResponseSurfaceVSRT!$C$48:$K$48</c:f>
              <c:numCache>
                <c:formatCode>0.00</c:formatCode>
                <c:ptCount val="9"/>
                <c:pt idx="0">
                  <c:v>0.75748468099079025</c:v>
                </c:pt>
                <c:pt idx="1">
                  <c:v>0.87803503479872724</c:v>
                </c:pt>
                <c:pt idx="2">
                  <c:v>0.99477765332385459</c:v>
                </c:pt>
                <c:pt idx="3">
                  <c:v>1.1041715616940022</c:v>
                </c:pt>
                <c:pt idx="4">
                  <c:v>1.1997721565858324</c:v>
                </c:pt>
                <c:pt idx="5">
                  <c:v>1.2705588935015291</c:v>
                </c:pt>
                <c:pt idx="6">
                  <c:v>1.2996531407842069</c:v>
                </c:pt>
                <c:pt idx="7">
                  <c:v>1.2660716846045139</c:v>
                </c:pt>
                <c:pt idx="8">
                  <c:v>1.1537326019694647</c:v>
                </c:pt>
              </c:numCache>
            </c:numRef>
          </c:val>
          <c:extLst>
            <c:ext xmlns:c16="http://schemas.microsoft.com/office/drawing/2014/chart" uri="{C3380CC4-5D6E-409C-BE32-E72D297353CC}">
              <c16:uniqueId val="{00000006-AF7E-475B-A987-D2BCB90D02A4}"/>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ResponseSurfaceVSRT!$C$49:$K$49</c:f>
              <c:numCache>
                <c:formatCode>0.00</c:formatCode>
                <c:ptCount val="9"/>
                <c:pt idx="0">
                  <c:v>0.68434435865802568</c:v>
                </c:pt>
                <c:pt idx="1">
                  <c:v>0.79360060776290686</c:v>
                </c:pt>
                <c:pt idx="2">
                  <c:v>0.89981918411374662</c:v>
                </c:pt>
                <c:pt idx="3">
                  <c:v>1.0001577118738996</c:v>
                </c:pt>
                <c:pt idx="4">
                  <c:v>1.0894003964949364</c:v>
                </c:pt>
                <c:pt idx="5">
                  <c:v>1.15849250947676</c:v>
                </c:pt>
                <c:pt idx="6">
                  <c:v>1.1931704507054104</c:v>
                </c:pt>
                <c:pt idx="7">
                  <c:v>1.1746799085891482</c:v>
                </c:pt>
                <c:pt idx="8">
                  <c:v>1.0863427432708224</c:v>
                </c:pt>
              </c:numCache>
            </c:numRef>
          </c:val>
          <c:extLst>
            <c:ext xmlns:c16="http://schemas.microsoft.com/office/drawing/2014/chart" uri="{C3380CC4-5D6E-409C-BE32-E72D297353CC}">
              <c16:uniqueId val="{00000007-AF7E-475B-A987-D2BCB90D02A4}"/>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ResponseSurfaceVSRT!$C$50:$K$50</c:f>
              <c:numCache>
                <c:formatCode>0.00</c:formatCode>
                <c:ptCount val="9"/>
                <c:pt idx="0">
                  <c:v>0.62370299932167883</c:v>
                </c:pt>
                <c:pt idx="1">
                  <c:v>0.72352604987739078</c:v>
                </c:pt>
                <c:pt idx="2">
                  <c:v>0.82087054124572556</c:v>
                </c:pt>
                <c:pt idx="3">
                  <c:v>0.91340596790013706</c:v>
                </c:pt>
                <c:pt idx="4">
                  <c:v>0.99682812374161855</c:v>
                </c:pt>
                <c:pt idx="5">
                  <c:v>1.0635758027818421</c:v>
                </c:pt>
                <c:pt idx="6">
                  <c:v>1.1014733198178821</c:v>
                </c:pt>
                <c:pt idx="7">
                  <c:v>1.0938099055427337</c:v>
                </c:pt>
                <c:pt idx="8">
                  <c:v>1.0241092455788126</c:v>
                </c:pt>
              </c:numCache>
            </c:numRef>
          </c:val>
          <c:extLst>
            <c:ext xmlns:c16="http://schemas.microsoft.com/office/drawing/2014/chart" uri="{C3380CC4-5D6E-409C-BE32-E72D297353CC}">
              <c16:uniqueId val="{00000008-AF7E-475B-A987-D2BCB90D02A4}"/>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ResponseSurfaceVSRT!$K$54:$S$54</c:f>
              <c:numCache>
                <c:formatCode>0.0</c:formatCode>
                <c:ptCount val="9"/>
                <c:pt idx="0">
                  <c:v>4.5855216806113086</c:v>
                </c:pt>
                <c:pt idx="1">
                  <c:v>5.2326250012642994</c:v>
                </c:pt>
                <c:pt idx="2">
                  <c:v>5.7677822570054449</c:v>
                </c:pt>
                <c:pt idx="3">
                  <c:v>6.1083081765214402</c:v>
                </c:pt>
                <c:pt idx="4">
                  <c:v>6.143818133718792</c:v>
                </c:pt>
                <c:pt idx="5">
                  <c:v>5.7738061517803789</c:v>
                </c:pt>
                <c:pt idx="6">
                  <c:v>4.9875127392761387</c:v>
                </c:pt>
                <c:pt idx="7">
                  <c:v>3.9260401122593391</c:v>
                </c:pt>
                <c:pt idx="8">
                  <c:v>2.829296442511259</c:v>
                </c:pt>
              </c:numCache>
            </c:numRef>
          </c:val>
          <c:extLst>
            <c:ext xmlns:c16="http://schemas.microsoft.com/office/drawing/2014/chart" uri="{C3380CC4-5D6E-409C-BE32-E72D297353CC}">
              <c16:uniqueId val="{00000000-0EED-422B-9B01-A3DB08514E4C}"/>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ResponseSurfaceVSRT!$K$55:$S$55</c:f>
              <c:numCache>
                <c:formatCode>0.0</c:formatCode>
                <c:ptCount val="9"/>
                <c:pt idx="0">
                  <c:v>8.4308442217149615</c:v>
                </c:pt>
                <c:pt idx="1">
                  <c:v>9.698355679936622</c:v>
                </c:pt>
                <c:pt idx="2">
                  <c:v>10.840462303548417</c:v>
                </c:pt>
                <c:pt idx="3">
                  <c:v>11.752681558872634</c:v>
                </c:pt>
                <c:pt idx="4">
                  <c:v>12.270713629547343</c:v>
                </c:pt>
                <c:pt idx="5">
                  <c:v>12.181429098546507</c:v>
                </c:pt>
                <c:pt idx="6">
                  <c:v>11.303215833688128</c:v>
                </c:pt>
                <c:pt idx="7">
                  <c:v>9.6433010080897308</c:v>
                </c:pt>
                <c:pt idx="8">
                  <c:v>7.5031943446081408</c:v>
                </c:pt>
              </c:numCache>
            </c:numRef>
          </c:val>
          <c:extLst>
            <c:ext xmlns:c16="http://schemas.microsoft.com/office/drawing/2014/chart" uri="{C3380CC4-5D6E-409C-BE32-E72D297353CC}">
              <c16:uniqueId val="{00000001-0EED-422B-9B01-A3DB08514E4C}"/>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ResponseSurfaceVSRT!$K$56:$S$56</c:f>
              <c:numCache>
                <c:formatCode>0.0</c:formatCode>
                <c:ptCount val="9"/>
                <c:pt idx="0">
                  <c:v>10.006522644165349</c:v>
                </c:pt>
                <c:pt idx="1">
                  <c:v>11.549176199824275</c:v>
                </c:pt>
                <c:pt idx="2">
                  <c:v>12.984865535882689</c:v>
                </c:pt>
                <c:pt idx="3">
                  <c:v>14.22006578084414</c:v>
                </c:pt>
                <c:pt idx="4">
                  <c:v>15.09793692548992</c:v>
                </c:pt>
                <c:pt idx="5">
                  <c:v>15.388153546969194</c:v>
                </c:pt>
                <c:pt idx="6">
                  <c:v>14.829364408640686</c:v>
                </c:pt>
                <c:pt idx="7">
                  <c:v>13.272679583589634</c:v>
                </c:pt>
                <c:pt idx="8">
                  <c:v>10.877340314468668</c:v>
                </c:pt>
              </c:numCache>
            </c:numRef>
          </c:val>
          <c:extLst>
            <c:ext xmlns:c16="http://schemas.microsoft.com/office/drawing/2014/chart" uri="{C3380CC4-5D6E-409C-BE32-E72D297353CC}">
              <c16:uniqueId val="{00000002-0EED-422B-9B01-A3DB08514E4C}"/>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ResponseSurfaceVSRT!$K$57:$S$57</c:f>
              <c:numCache>
                <c:formatCode>0.0</c:formatCode>
                <c:ptCount val="9"/>
                <c:pt idx="0">
                  <c:v>10.86410359127448</c:v>
                </c:pt>
                <c:pt idx="1">
                  <c:v>12.561684982941527</c:v>
                </c:pt>
                <c:pt idx="2">
                  <c:v>14.168647586814114</c:v>
                </c:pt>
                <c:pt idx="3">
                  <c:v>15.603667889234606</c:v>
                </c:pt>
                <c:pt idx="4">
                  <c:v>16.725567565108324</c:v>
                </c:pt>
                <c:pt idx="5">
                  <c:v>17.313121385259912</c:v>
                </c:pt>
                <c:pt idx="6">
                  <c:v>17.079796913807694</c:v>
                </c:pt>
                <c:pt idx="7">
                  <c:v>15.781293641358129</c:v>
                </c:pt>
                <c:pt idx="8">
                  <c:v>13.427718623918768</c:v>
                </c:pt>
              </c:numCache>
            </c:numRef>
          </c:val>
          <c:extLst>
            <c:ext xmlns:c16="http://schemas.microsoft.com/office/drawing/2014/chart" uri="{C3380CC4-5D6E-409C-BE32-E72D297353CC}">
              <c16:uniqueId val="{00000003-0EED-422B-9B01-A3DB08514E4C}"/>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ResponseSurfaceVSRT!$K$58:$S$58</c:f>
              <c:numCache>
                <c:formatCode>0.0</c:formatCode>
                <c:ptCount val="9"/>
                <c:pt idx="0">
                  <c:v>11.403382957823119</c:v>
                </c:pt>
                <c:pt idx="1">
                  <c:v>13.200270054404607</c:v>
                </c:pt>
                <c:pt idx="2">
                  <c:v>14.91917626653648</c:v>
                </c:pt>
                <c:pt idx="3">
                  <c:v>16.488969550348109</c:v>
                </c:pt>
                <c:pt idx="4">
                  <c:v>17.783462989684139</c:v>
                </c:pt>
                <c:pt idx="5">
                  <c:v>18.596822333723342</c:v>
                </c:pt>
                <c:pt idx="6">
                  <c:v>18.640770160187419</c:v>
                </c:pt>
                <c:pt idx="7">
                  <c:v>17.618851346322941</c:v>
                </c:pt>
                <c:pt idx="8">
                  <c:v>15.423183400173549</c:v>
                </c:pt>
              </c:numCache>
            </c:numRef>
          </c:val>
          <c:extLst>
            <c:ext xmlns:c16="http://schemas.microsoft.com/office/drawing/2014/chart" uri="{C3380CC4-5D6E-409C-BE32-E72D297353CC}">
              <c16:uniqueId val="{00000004-0EED-422B-9B01-A3DB08514E4C}"/>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ResponseSurfaceVSRT!$K$59:$S$59</c:f>
              <c:numCache>
                <c:formatCode>0.0</c:formatCode>
                <c:ptCount val="9"/>
                <c:pt idx="0">
                  <c:v>11.773833646733703</c:v>
                </c:pt>
                <c:pt idx="1">
                  <c:v>13.639782224559681</c:v>
                </c:pt>
                <c:pt idx="2">
                  <c:v>15.437509107861596</c:v>
                </c:pt>
                <c:pt idx="3">
                  <c:v>17.104085583761606</c:v>
                </c:pt>
                <c:pt idx="4">
                  <c:v>18.526210268051354</c:v>
                </c:pt>
                <c:pt idx="5">
                  <c:v>19.513942215081737</c:v>
                </c:pt>
                <c:pt idx="6">
                  <c:v>19.78703811971695</c:v>
                </c:pt>
                <c:pt idx="7">
                  <c:v>19.022849591164718</c:v>
                </c:pt>
                <c:pt idx="8">
                  <c:v>17.027072861892687</c:v>
                </c:pt>
              </c:numCache>
            </c:numRef>
          </c:val>
          <c:extLst>
            <c:ext xmlns:c16="http://schemas.microsoft.com/office/drawing/2014/chart" uri="{C3380CC4-5D6E-409C-BE32-E72D297353CC}">
              <c16:uniqueId val="{00000005-0EED-422B-9B01-A3DB08514E4C}"/>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ResponseSurfaceVSRT!$K$60:$S$60</c:f>
              <c:numCache>
                <c:formatCode>0.0</c:formatCode>
                <c:ptCount val="9"/>
                <c:pt idx="0">
                  <c:v>12.044006427753565</c:v>
                </c:pt>
                <c:pt idx="1">
                  <c:v>13.960757053299764</c:v>
                </c:pt>
                <c:pt idx="2">
                  <c:v>15.816964687849289</c:v>
                </c:pt>
                <c:pt idx="3">
                  <c:v>17.556327830934634</c:v>
                </c:pt>
                <c:pt idx="4">
                  <c:v>19.076377289714735</c:v>
                </c:pt>
                <c:pt idx="5">
                  <c:v>20.201886406674312</c:v>
                </c:pt>
                <c:pt idx="6">
                  <c:v>20.664484938468892</c:v>
                </c:pt>
                <c:pt idx="7">
                  <c:v>20.13053978521177</c:v>
                </c:pt>
                <c:pt idx="8">
                  <c:v>18.344348371314489</c:v>
                </c:pt>
              </c:numCache>
            </c:numRef>
          </c:val>
          <c:extLst>
            <c:ext xmlns:c16="http://schemas.microsoft.com/office/drawing/2014/chart" uri="{C3380CC4-5D6E-409C-BE32-E72D297353CC}">
              <c16:uniqueId val="{00000006-0EED-422B-9B01-A3DB08514E4C}"/>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ResponseSurfaceVSRT!$K$61:$S$61</c:f>
              <c:numCache>
                <c:formatCode>0.0</c:formatCode>
                <c:ptCount val="9"/>
                <c:pt idx="0">
                  <c:v>12.249764019978659</c:v>
                </c:pt>
                <c:pt idx="1">
                  <c:v>14.205450878956032</c:v>
                </c:pt>
                <c:pt idx="2">
                  <c:v>16.106763395636062</c:v>
                </c:pt>
                <c:pt idx="3">
                  <c:v>17.902823042542799</c:v>
                </c:pt>
                <c:pt idx="4">
                  <c:v>19.500267097259361</c:v>
                </c:pt>
                <c:pt idx="5">
                  <c:v>20.737015919634</c:v>
                </c:pt>
                <c:pt idx="6">
                  <c:v>21.357751067626843</c:v>
                </c:pt>
                <c:pt idx="7">
                  <c:v>21.026770363745751</c:v>
                </c:pt>
                <c:pt idx="8">
                  <c:v>19.445535104547719</c:v>
                </c:pt>
              </c:numCache>
            </c:numRef>
          </c:val>
          <c:extLst>
            <c:ext xmlns:c16="http://schemas.microsoft.com/office/drawing/2014/chart" uri="{C3380CC4-5D6E-409C-BE32-E72D297353CC}">
              <c16:uniqueId val="{00000007-0EED-422B-9B01-A3DB08514E4C}"/>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ResponseSurfaceVSRT!$K$62:$S$62</c:f>
              <c:numCache>
                <c:formatCode>0.0</c:formatCode>
                <c:ptCount val="9"/>
                <c:pt idx="0">
                  <c:v>12.411689686501408</c:v>
                </c:pt>
                <c:pt idx="1">
                  <c:v>14.398168392560075</c:v>
                </c:pt>
                <c:pt idx="2">
                  <c:v>16.335323770789937</c:v>
                </c:pt>
                <c:pt idx="3">
                  <c:v>18.176778761212727</c:v>
                </c:pt>
                <c:pt idx="4">
                  <c:v>19.836879662458209</c:v>
                </c:pt>
                <c:pt idx="5">
                  <c:v>21.165158475358655</c:v>
                </c:pt>
                <c:pt idx="6">
                  <c:v>21.919319064375852</c:v>
                </c:pt>
                <c:pt idx="7">
                  <c:v>21.766817120300399</c:v>
                </c:pt>
                <c:pt idx="8">
                  <c:v>20.379773987018368</c:v>
                </c:pt>
              </c:numCache>
            </c:numRef>
          </c:val>
          <c:extLst>
            <c:ext xmlns:c16="http://schemas.microsoft.com/office/drawing/2014/chart" uri="{C3380CC4-5D6E-409C-BE32-E72D297353CC}">
              <c16:uniqueId val="{00000008-0EED-422B-9B01-A3DB08514E4C}"/>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ResponseSurfaceVSRT!$S$43:$AA$43</c:f>
              <c:numCache>
                <c:formatCode>0.00</c:formatCode>
                <c:ptCount val="9"/>
                <c:pt idx="0">
                  <c:v>0.27551778502336477</c:v>
                </c:pt>
                <c:pt idx="1">
                  <c:v>0.27242572134653431</c:v>
                </c:pt>
                <c:pt idx="2">
                  <c:v>0.26700646067853245</c:v>
                </c:pt>
                <c:pt idx="3">
                  <c:v>0.25773424471211914</c:v>
                </c:pt>
                <c:pt idx="4">
                  <c:v>0.2425042219278131</c:v>
                </c:pt>
                <c:pt idx="5">
                  <c:v>0.21909045141270697</c:v>
                </c:pt>
                <c:pt idx="6">
                  <c:v>0.18652171342719684</c:v>
                </c:pt>
                <c:pt idx="7">
                  <c:v>0.14700153975746541</c:v>
                </c:pt>
                <c:pt idx="8">
                  <c:v>0.10627754029190002</c:v>
                </c:pt>
              </c:numCache>
            </c:numRef>
          </c:val>
          <c:extLst>
            <c:ext xmlns:c16="http://schemas.microsoft.com/office/drawing/2014/chart" uri="{C3380CC4-5D6E-409C-BE32-E72D297353CC}">
              <c16:uniqueId val="{00000000-2E07-4160-AA66-60A49ACE2454}"/>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ResponseSurfaceVSRT!$S$44:$AA$44</c:f>
              <c:numCache>
                <c:formatCode>0.00</c:formatCode>
                <c:ptCount val="9"/>
                <c:pt idx="0">
                  <c:v>0.32701054392697215</c:v>
                </c:pt>
                <c:pt idx="1">
                  <c:v>0.32441506179281671</c:v>
                </c:pt>
                <c:pt idx="2">
                  <c:v>0.31982427428282484</c:v>
                </c:pt>
                <c:pt idx="3">
                  <c:v>0.31184354782552937</c:v>
                </c:pt>
                <c:pt idx="4">
                  <c:v>0.29837820010849642</c:v>
                </c:pt>
                <c:pt idx="5">
                  <c:v>0.27676535156419413</c:v>
                </c:pt>
                <c:pt idx="6">
                  <c:v>0.24470898364093541</c:v>
                </c:pt>
                <c:pt idx="7">
                  <c:v>0.20232743267667125</c:v>
                </c:pt>
                <c:pt idx="8">
                  <c:v>0.15406997612561854</c:v>
                </c:pt>
              </c:numCache>
            </c:numRef>
          </c:val>
          <c:extLst>
            <c:ext xmlns:c16="http://schemas.microsoft.com/office/drawing/2014/chart" uri="{C3380CC4-5D6E-409C-BE32-E72D297353CC}">
              <c16:uniqueId val="{00000001-2E07-4160-AA66-60A49ACE2454}"/>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ResponseSurfaceVSRT!$S$45:$AA$45</c:f>
              <c:numCache>
                <c:formatCode>0.00</c:formatCode>
                <c:ptCount val="9"/>
                <c:pt idx="0">
                  <c:v>0.35503606507432939</c:v>
                </c:pt>
                <c:pt idx="1">
                  <c:v>0.35285631974554849</c:v>
                </c:pt>
                <c:pt idx="2">
                  <c:v>0.34898146765552002</c:v>
                </c:pt>
                <c:pt idx="3">
                  <c:v>0.34218569932532028</c:v>
                </c:pt>
                <c:pt idx="4">
                  <c:v>0.33054481353969017</c:v>
                </c:pt>
                <c:pt idx="5">
                  <c:v>0.31138707527445886</c:v>
                </c:pt>
                <c:pt idx="6">
                  <c:v>0.28184483356118306</c:v>
                </c:pt>
                <c:pt idx="7">
                  <c:v>0.24056850063045931</c:v>
                </c:pt>
                <c:pt idx="8">
                  <c:v>0.19019431478638482</c:v>
                </c:pt>
              </c:numCache>
            </c:numRef>
          </c:val>
          <c:extLst>
            <c:ext xmlns:c16="http://schemas.microsoft.com/office/drawing/2014/chart" uri="{C3380CC4-5D6E-409C-BE32-E72D297353CC}">
              <c16:uniqueId val="{00000002-2E07-4160-AA66-60A49ACE2454}"/>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ResponseSurfaceVSRT!$S$46:$AA$46</c:f>
              <c:numCache>
                <c:formatCode>0.00</c:formatCode>
                <c:ptCount val="9"/>
                <c:pt idx="0">
                  <c:v>0.37265957378506925</c:v>
                </c:pt>
                <c:pt idx="1">
                  <c:v>0.37079410265181478</c:v>
                </c:pt>
                <c:pt idx="2">
                  <c:v>0.36746739572749948</c:v>
                </c:pt>
                <c:pt idx="3">
                  <c:v>0.36160020943745852</c:v>
                </c:pt>
                <c:pt idx="4">
                  <c:v>0.35145183774079325</c:v>
                </c:pt>
                <c:pt idx="5">
                  <c:v>0.33447522182955652</c:v>
                </c:pt>
                <c:pt idx="6">
                  <c:v>0.30760346798989141</c:v>
                </c:pt>
                <c:pt idx="7">
                  <c:v>0.26858005101102045</c:v>
                </c:pt>
                <c:pt idx="8">
                  <c:v>0.21845868838772733</c:v>
                </c:pt>
              </c:numCache>
            </c:numRef>
          </c:val>
          <c:extLst>
            <c:ext xmlns:c16="http://schemas.microsoft.com/office/drawing/2014/chart" uri="{C3380CC4-5D6E-409C-BE32-E72D297353CC}">
              <c16:uniqueId val="{00000003-2E07-4160-AA66-60A49ACE2454}"/>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ResponseSurfaceVSRT!$S$47:$AA$47</c:f>
              <c:numCache>
                <c:formatCode>0.00</c:formatCode>
                <c:ptCount val="9"/>
                <c:pt idx="0">
                  <c:v>0.38476580544881378</c:v>
                </c:pt>
                <c:pt idx="1">
                  <c:v>0.38313995012808094</c:v>
                </c:pt>
                <c:pt idx="2">
                  <c:v>0.38023421447934963</c:v>
                </c:pt>
                <c:pt idx="3">
                  <c:v>0.37508959613512294</c:v>
                </c:pt>
                <c:pt idx="4">
                  <c:v>0.36613063770852478</c:v>
                </c:pt>
                <c:pt idx="5">
                  <c:v>0.35097018372449168</c:v>
                </c:pt>
                <c:pt idx="6">
                  <c:v>0.32651878085341501</c:v>
                </c:pt>
                <c:pt idx="7">
                  <c:v>0.28998246327994998</c:v>
                </c:pt>
                <c:pt idx="8">
                  <c:v>0.24117666943190777</c:v>
                </c:pt>
              </c:numCache>
            </c:numRef>
          </c:val>
          <c:extLst>
            <c:ext xmlns:c16="http://schemas.microsoft.com/office/drawing/2014/chart" uri="{C3380CC4-5D6E-409C-BE32-E72D297353CC}">
              <c16:uniqueId val="{00000004-2E07-4160-AA66-60A49ACE2454}"/>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ResponseSurfaceVSRT!$S$48:$AA$48</c:f>
              <c:numCache>
                <c:formatCode>0.00</c:formatCode>
                <c:ptCount val="9"/>
                <c:pt idx="0">
                  <c:v>0.39359498129913612</c:v>
                </c:pt>
                <c:pt idx="1">
                  <c:v>0.39215609700280235</c:v>
                </c:pt>
                <c:pt idx="2">
                  <c:v>0.38958041103077068</c:v>
                </c:pt>
                <c:pt idx="3">
                  <c:v>0.38500718927488231</c:v>
                </c:pt>
                <c:pt idx="4">
                  <c:v>0.37700350374930303</c:v>
                </c:pt>
                <c:pt idx="5">
                  <c:v>0.36334328069558114</c:v>
                </c:pt>
                <c:pt idx="6">
                  <c:v>0.34099810129486618</c:v>
                </c:pt>
                <c:pt idx="7">
                  <c:v>0.30686798453066727</c:v>
                </c:pt>
                <c:pt idx="8">
                  <c:v>0.2598349627664942</c:v>
                </c:pt>
              </c:numCache>
            </c:numRef>
          </c:val>
          <c:extLst>
            <c:ext xmlns:c16="http://schemas.microsoft.com/office/drawing/2014/chart" uri="{C3380CC4-5D6E-409C-BE32-E72D297353CC}">
              <c16:uniqueId val="{00000005-2E07-4160-AA66-60A49ACE2454}"/>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ResponseSurfaceVSRT!$S$49:$AA$49</c:f>
              <c:numCache>
                <c:formatCode>0.00</c:formatCode>
                <c:ptCount val="9"/>
                <c:pt idx="0">
                  <c:v>0.40031908562021762</c:v>
                </c:pt>
                <c:pt idx="1">
                  <c:v>0.39902951907179862</c:v>
                </c:pt>
                <c:pt idx="2">
                  <c:v>0.39671831023734139</c:v>
                </c:pt>
                <c:pt idx="3">
                  <c:v>0.39260576847681578</c:v>
                </c:pt>
                <c:pt idx="4">
                  <c:v>0.38538077267310988</c:v>
                </c:pt>
                <c:pt idx="5">
                  <c:v>0.37296791222363307</c:v>
                </c:pt>
                <c:pt idx="6">
                  <c:v>0.35243813642948585</c:v>
                </c:pt>
                <c:pt idx="7">
                  <c:v>0.32053003603270963</c:v>
                </c:pt>
                <c:pt idx="8">
                  <c:v>0.27543250856299889</c:v>
                </c:pt>
              </c:numCache>
            </c:numRef>
          </c:val>
          <c:extLst>
            <c:ext xmlns:c16="http://schemas.microsoft.com/office/drawing/2014/chart" uri="{C3380CC4-5D6E-409C-BE32-E72D297353CC}">
              <c16:uniqueId val="{00000006-2E07-4160-AA66-60A49ACE2454}"/>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30.6</c:v>
                </c:pt>
                <c:pt idx="1">
                  <c:v>35.6</c:v>
                </c:pt>
                <c:pt idx="2">
                  <c:v>40.6</c:v>
                </c:pt>
                <c:pt idx="3">
                  <c:v>45.6</c:v>
                </c:pt>
                <c:pt idx="4">
                  <c:v>50.6</c:v>
                </c:pt>
                <c:pt idx="5">
                  <c:v>55.6</c:v>
                </c:pt>
                <c:pt idx="6">
                  <c:v>60.6</c:v>
                </c:pt>
                <c:pt idx="7">
                  <c:v>65.599999999999994</c:v>
                </c:pt>
                <c:pt idx="8">
                  <c:v>70.599999999999994</c:v>
                </c:pt>
              </c:numCache>
            </c:numRef>
          </c:cat>
          <c:val>
            <c:numRef>
              <c:f>ResponseSurfaceVSRT!$S$50:$AA$50</c:f>
              <c:numCache>
                <c:formatCode>0.00</c:formatCode>
                <c:ptCount val="9"/>
                <c:pt idx="0">
                  <c:v>0.40561077406867341</c:v>
                </c:pt>
                <c:pt idx="1">
                  <c:v>0.404442932375283</c:v>
                </c:pt>
                <c:pt idx="2">
                  <c:v>0.40234787612783096</c:v>
                </c:pt>
                <c:pt idx="3">
                  <c:v>0.39861356932484049</c:v>
                </c:pt>
                <c:pt idx="4">
                  <c:v>0.39203319491024124</c:v>
                </c:pt>
                <c:pt idx="5">
                  <c:v>0.38066831790213407</c:v>
                </c:pt>
                <c:pt idx="6">
                  <c:v>0.36170493505570711</c:v>
                </c:pt>
                <c:pt idx="7">
                  <c:v>0.3318112365899451</c:v>
                </c:pt>
                <c:pt idx="8">
                  <c:v>0.28866535392377296</c:v>
                </c:pt>
              </c:numCache>
            </c:numRef>
          </c:val>
          <c:extLst>
            <c:ext xmlns:c16="http://schemas.microsoft.com/office/drawing/2014/chart" uri="{C3380CC4-5D6E-409C-BE32-E72D297353CC}">
              <c16:uniqueId val="{00000007-2E07-4160-AA66-60A49ACE2454}"/>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1.5753379830048198</c:v>
                </c:pt>
                <c:pt idx="5">
                  <c:v>2.6358412650394301</c:v>
                </c:pt>
                <c:pt idx="6">
                  <c:v>3.1081642023212512</c:v>
                </c:pt>
                <c:pt idx="7">
                  <c:v>3.3072565783511734</c:v>
                </c:pt>
                <c:pt idx="8">
                  <c:v>3.3880763723789791</c:v>
                </c:pt>
              </c:numCache>
            </c:numRef>
          </c:val>
          <c:extLst>
            <c:ext xmlns:c16="http://schemas.microsoft.com/office/drawing/2014/chart" uri="{C3380CC4-5D6E-409C-BE32-E72D297353CC}">
              <c16:uniqueId val="{00000000-6639-4000-9DEC-F3A7C7E439A0}"/>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1.1928797240613624</c:v>
                </c:pt>
                <c:pt idx="4">
                  <c:v>2.079781971109719</c:v>
                </c:pt>
                <c:pt idx="5">
                  <c:v>2.5074425390652308</c:v>
                </c:pt>
                <c:pt idx="6">
                  <c:v>2.7010213223590989</c:v>
                </c:pt>
                <c:pt idx="7">
                  <c:v>2.783202791535266</c:v>
                </c:pt>
                <c:pt idx="8">
                  <c:v>2.8166633692324505</c:v>
                </c:pt>
              </c:numCache>
            </c:numRef>
          </c:val>
          <c:extLst>
            <c:ext xmlns:c16="http://schemas.microsoft.com/office/drawing/2014/chart" uri="{C3380CC4-5D6E-409C-BE32-E72D297353CC}">
              <c16:uniqueId val="{00000001-6639-4000-9DEC-F3A7C7E439A0}"/>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0.52088703011743609</c:v>
                </c:pt>
                <c:pt idx="3">
                  <c:v>1.442603245088323</c:v>
                </c:pt>
                <c:pt idx="4">
                  <c:v>1.9111312563911291</c:v>
                </c:pt>
                <c:pt idx="5">
                  <c:v>2.1406729778933618</c:v>
                </c:pt>
                <c:pt idx="6">
                  <c:v>2.2453626001602363</c:v>
                </c:pt>
                <c:pt idx="7">
                  <c:v>2.2899571506063294</c:v>
                </c:pt>
                <c:pt idx="8">
                  <c:v>2.3081397210884962</c:v>
                </c:pt>
              </c:numCache>
            </c:numRef>
          </c:val>
          <c:extLst>
            <c:ext xmlns:c16="http://schemas.microsoft.com/office/drawing/2014/chart" uri="{C3380CC4-5D6E-409C-BE32-E72D297353CC}">
              <c16:uniqueId val="{00000002-6639-4000-9DEC-F3A7C7E439A0}"/>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0.84191905746583817</c:v>
                </c:pt>
                <c:pt idx="3">
                  <c:v>1.4004028847061281</c:v>
                </c:pt>
                <c:pt idx="4">
                  <c:v>1.6894512692028614</c:v>
                </c:pt>
                <c:pt idx="5">
                  <c:v>1.8323582473978357</c:v>
                </c:pt>
                <c:pt idx="6">
                  <c:v>1.8978214180070652</c:v>
                </c:pt>
                <c:pt idx="7">
                  <c:v>1.9257613965889901</c:v>
                </c:pt>
                <c:pt idx="8">
                  <c:v>1.9371627828212592</c:v>
                </c:pt>
              </c:numCache>
            </c:numRef>
          </c:val>
          <c:extLst>
            <c:ext xmlns:c16="http://schemas.microsoft.com/office/drawing/2014/chart" uri="{C3380CC4-5D6E-409C-BE32-E72D297353CC}">
              <c16:uniqueId val="{00000003-6639-4000-9DEC-F3A7C7E439A0}"/>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0.21066357767362723</c:v>
                </c:pt>
                <c:pt idx="2">
                  <c:v>0.92419971836569759</c:v>
                </c:pt>
                <c:pt idx="3">
                  <c:v>1.2984598128043203</c:v>
                </c:pt>
                <c:pt idx="4">
                  <c:v>1.4944086545953059</c:v>
                </c:pt>
                <c:pt idx="5">
                  <c:v>1.5918606711637793</c:v>
                </c:pt>
                <c:pt idx="6">
                  <c:v>1.63662941157024</c:v>
                </c:pt>
                <c:pt idx="7">
                  <c:v>1.6557614214676146</c:v>
                </c:pt>
                <c:pt idx="8">
                  <c:v>1.6635727838635299</c:v>
                </c:pt>
              </c:numCache>
            </c:numRef>
          </c:val>
          <c:extLst>
            <c:ext xmlns:c16="http://schemas.microsoft.com/office/drawing/2014/chart" uri="{C3380CC4-5D6E-409C-BE32-E72D297353CC}">
              <c16:uniqueId val="{00000004-6639-4000-9DEC-F3A7C7E439A0}"/>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0.41957772885048911</c:v>
                </c:pt>
                <c:pt idx="2">
                  <c:v>0.92312568692379571</c:v>
                </c:pt>
                <c:pt idx="3">
                  <c:v>1.19128963418298</c:v>
                </c:pt>
                <c:pt idx="4">
                  <c:v>1.3328208825936225</c:v>
                </c:pt>
                <c:pt idx="5">
                  <c:v>1.4035011985843724</c:v>
                </c:pt>
                <c:pt idx="6">
                  <c:v>1.4360365547018739</c:v>
                </c:pt>
                <c:pt idx="7">
                  <c:v>1.4499531779776804</c:v>
                </c:pt>
                <c:pt idx="8">
                  <c:v>1.4556373295929128</c:v>
                </c:pt>
              </c:numCache>
            </c:numRef>
          </c:val>
          <c:extLst>
            <c:ext xmlns:c16="http://schemas.microsoft.com/office/drawing/2014/chart" uri="{C3380CC4-5D6E-409C-BE32-E72D297353CC}">
              <c16:uniqueId val="{00000005-6639-4000-9DEC-F3A7C7E439A0}"/>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0.51697181228969069</c:v>
                </c:pt>
                <c:pt idx="2">
                  <c:v>0.89124289976527571</c:v>
                </c:pt>
                <c:pt idx="3">
                  <c:v>1.0927772838155769</c:v>
                </c:pt>
                <c:pt idx="4">
                  <c:v>1.1997721565858324</c:v>
                </c:pt>
                <c:pt idx="5">
                  <c:v>1.2533690150441377</c:v>
                </c:pt>
                <c:pt idx="6">
                  <c:v>1.278077392397617</c:v>
                </c:pt>
                <c:pt idx="7">
                  <c:v>1.2886532173710219</c:v>
                </c:pt>
                <c:pt idx="8">
                  <c:v>1.2929740671343632</c:v>
                </c:pt>
              </c:numCache>
            </c:numRef>
          </c:val>
          <c:extLst>
            <c:ext xmlns:c16="http://schemas.microsoft.com/office/drawing/2014/chart" uri="{C3380CC4-5D6E-409C-BE32-E72D297353CC}">
              <c16:uniqueId val="{00000006-6639-4000-9DEC-F3A7C7E439A0}"/>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1.2919397441098072E-2</c:v>
                </c:pt>
                <c:pt idx="1">
                  <c:v>0.55964001225603</c:v>
                </c:pt>
                <c:pt idx="2">
                  <c:v>0.84871361073296148</c:v>
                </c:pt>
                <c:pt idx="3">
                  <c:v>1.0056859334229682</c:v>
                </c:pt>
                <c:pt idx="4">
                  <c:v>1.0894003964949366</c:v>
                </c:pt>
                <c:pt idx="5">
                  <c:v>1.131434408482024</c:v>
                </c:pt>
                <c:pt idx="6">
                  <c:v>1.1508345775446716</c:v>
                </c:pt>
                <c:pt idx="7">
                  <c:v>1.1591426609963866</c:v>
                </c:pt>
                <c:pt idx="8">
                  <c:v>1.1625377479686247</c:v>
                </c:pt>
              </c:numCache>
            </c:numRef>
          </c:val>
          <c:extLst>
            <c:ext xmlns:c16="http://schemas.microsoft.com/office/drawing/2014/chart" uri="{C3380CC4-5D6E-409C-BE32-E72D297353CC}">
              <c16:uniqueId val="{00000007-6639-4000-9DEC-F3A7C7E439A0}"/>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0.14424164402153863</c:v>
                </c:pt>
                <c:pt idx="1">
                  <c:v>0.57386375276242707</c:v>
                </c:pt>
                <c:pt idx="2">
                  <c:v>0.80383828024901494</c:v>
                </c:pt>
                <c:pt idx="3">
                  <c:v>0.9295467397367444</c:v>
                </c:pt>
                <c:pt idx="4">
                  <c:v>0.99682812374161855</c:v>
                </c:pt>
                <c:pt idx="5">
                  <c:v>1.0306741619715789</c:v>
                </c:pt>
                <c:pt idx="6">
                  <c:v>1.0463095908689115</c:v>
                </c:pt>
                <c:pt idx="7">
                  <c:v>1.053008196151884</c:v>
                </c:pt>
                <c:pt idx="8">
                  <c:v>1.0557460493998676</c:v>
                </c:pt>
              </c:numCache>
            </c:numRef>
          </c:val>
          <c:extLst>
            <c:ext xmlns:c16="http://schemas.microsoft.com/office/drawing/2014/chart" uri="{C3380CC4-5D6E-409C-BE32-E72D297353CC}">
              <c16:uniqueId val="{00000008-6639-4000-9DEC-F3A7C7E439A0}"/>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6.1438181337187974</c:v>
                </c:pt>
                <c:pt idx="5">
                  <c:v>10.279780933653779</c:v>
                </c:pt>
                <c:pt idx="6">
                  <c:v>12.121840389052881</c:v>
                </c:pt>
                <c:pt idx="7">
                  <c:v>12.898300655569578</c:v>
                </c:pt>
                <c:pt idx="8">
                  <c:v>13.213497852278019</c:v>
                </c:pt>
              </c:numCache>
            </c:numRef>
          </c:val>
          <c:extLst>
            <c:ext xmlns:c16="http://schemas.microsoft.com/office/drawing/2014/chart" uri="{C3380CC4-5D6E-409C-BE32-E72D297353CC}">
              <c16:uniqueId val="{00000000-BFB1-4115-A61E-CB0162C824D2}"/>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7.0379903719620387</c:v>
                </c:pt>
                <c:pt idx="4">
                  <c:v>12.270713629547343</c:v>
                </c:pt>
                <c:pt idx="5">
                  <c:v>14.793910980484863</c:v>
                </c:pt>
                <c:pt idx="6">
                  <c:v>15.936025801918685</c:v>
                </c:pt>
                <c:pt idx="7">
                  <c:v>16.420896470058072</c:v>
                </c:pt>
                <c:pt idx="8">
                  <c:v>16.618313878471458</c:v>
                </c:pt>
              </c:numCache>
            </c:numRef>
          </c:val>
          <c:extLst>
            <c:ext xmlns:c16="http://schemas.microsoft.com/office/drawing/2014/chart" uri="{C3380CC4-5D6E-409C-BE32-E72D297353CC}">
              <c16:uniqueId val="{00000001-BFB1-4115-A61E-CB0162C824D2}"/>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4.1150075379277453</c:v>
                </c:pt>
                <c:pt idx="3">
                  <c:v>11.396565636197753</c:v>
                </c:pt>
                <c:pt idx="4">
                  <c:v>15.09793692548992</c:v>
                </c:pt>
                <c:pt idx="5">
                  <c:v>16.911316525357559</c:v>
                </c:pt>
                <c:pt idx="6">
                  <c:v>17.738364541265867</c:v>
                </c:pt>
                <c:pt idx="7">
                  <c:v>18.090661489790005</c:v>
                </c:pt>
                <c:pt idx="8">
                  <c:v>18.234303796599121</c:v>
                </c:pt>
              </c:numCache>
            </c:numRef>
          </c:val>
          <c:extLst>
            <c:ext xmlns:c16="http://schemas.microsoft.com/office/drawing/2014/chart" uri="{C3380CC4-5D6E-409C-BE32-E72D297353CC}">
              <c16:uniqueId val="{00000002-BFB1-4115-A61E-CB0162C824D2}"/>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8.3349986689117976</c:v>
                </c:pt>
                <c:pt idx="3">
                  <c:v>13.863988558590668</c:v>
                </c:pt>
                <c:pt idx="4">
                  <c:v>16.725567565108328</c:v>
                </c:pt>
                <c:pt idx="5">
                  <c:v>18.140346649238573</c:v>
                </c:pt>
                <c:pt idx="6">
                  <c:v>18.788432038269946</c:v>
                </c:pt>
                <c:pt idx="7">
                  <c:v>19.065037826231002</c:v>
                </c:pt>
                <c:pt idx="8">
                  <c:v>19.177911549930467</c:v>
                </c:pt>
              </c:numCache>
            </c:numRef>
          </c:val>
          <c:extLst>
            <c:ext xmlns:c16="http://schemas.microsoft.com/office/drawing/2014/chart" uri="{C3380CC4-5D6E-409C-BE32-E72D297353CC}">
              <c16:uniqueId val="{00000003-BFB1-4115-A61E-CB0162C824D2}"/>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2.5068965743161642</c:v>
                </c:pt>
                <c:pt idx="2">
                  <c:v>10.997976648551802</c:v>
                </c:pt>
                <c:pt idx="3">
                  <c:v>15.451671772371412</c:v>
                </c:pt>
                <c:pt idx="4">
                  <c:v>17.783462989684139</c:v>
                </c:pt>
                <c:pt idx="5">
                  <c:v>18.943141986848975</c:v>
                </c:pt>
                <c:pt idx="6">
                  <c:v>19.475889997685858</c:v>
                </c:pt>
                <c:pt idx="7">
                  <c:v>19.703560915464614</c:v>
                </c:pt>
                <c:pt idx="8">
                  <c:v>19.796516127976005</c:v>
                </c:pt>
              </c:numCache>
            </c:numRef>
          </c:val>
          <c:extLst>
            <c:ext xmlns:c16="http://schemas.microsoft.com/office/drawing/2014/chart" uri="{C3380CC4-5D6E-409C-BE32-E72D297353CC}">
              <c16:uniqueId val="{00000004-BFB1-4115-A61E-CB0162C824D2}"/>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5.832130431021799</c:v>
                </c:pt>
                <c:pt idx="2">
                  <c:v>12.831447048240761</c:v>
                </c:pt>
                <c:pt idx="3">
                  <c:v>16.558925915143423</c:v>
                </c:pt>
                <c:pt idx="4">
                  <c:v>18.526210268051354</c:v>
                </c:pt>
                <c:pt idx="5">
                  <c:v>19.508666660322778</c:v>
                </c:pt>
                <c:pt idx="6">
                  <c:v>19.960908110356048</c:v>
                </c:pt>
                <c:pt idx="7">
                  <c:v>20.154349173889759</c:v>
                </c:pt>
                <c:pt idx="8">
                  <c:v>20.233358881341488</c:v>
                </c:pt>
              </c:numCache>
            </c:numRef>
          </c:val>
          <c:extLst>
            <c:ext xmlns:c16="http://schemas.microsoft.com/office/drawing/2014/chart" uri="{C3380CC4-5D6E-409C-BE32-E72D297353CC}">
              <c16:uniqueId val="{00000005-BFB1-4115-A61E-CB0162C824D2}"/>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8.2198518154060825</c:v>
                </c:pt>
                <c:pt idx="2">
                  <c:v>14.170762106267883</c:v>
                </c:pt>
                <c:pt idx="3">
                  <c:v>17.375158812667674</c:v>
                </c:pt>
                <c:pt idx="4">
                  <c:v>19.076377289714735</c:v>
                </c:pt>
                <c:pt idx="5">
                  <c:v>19.928567339201788</c:v>
                </c:pt>
                <c:pt idx="6">
                  <c:v>20.321430539122112</c:v>
                </c:pt>
                <c:pt idx="7">
                  <c:v>20.489586156199248</c:v>
                </c:pt>
                <c:pt idx="8">
                  <c:v>20.558287667436375</c:v>
                </c:pt>
              </c:numCache>
            </c:numRef>
          </c:val>
          <c:extLst>
            <c:ext xmlns:c16="http://schemas.microsoft.com/office/drawing/2014/chart" uri="{C3380CC4-5D6E-409C-BE32-E72D297353CC}">
              <c16:uniqueId val="{00000006-BFB1-4115-A61E-CB0162C824D2}"/>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0.23125721419565548</c:v>
                </c:pt>
                <c:pt idx="1">
                  <c:v>10.017556219382936</c:v>
                </c:pt>
                <c:pt idx="2">
                  <c:v>15.191973632120009</c:v>
                </c:pt>
                <c:pt idx="3">
                  <c:v>18.00177820827113</c:v>
                </c:pt>
                <c:pt idx="4">
                  <c:v>19.500267097259364</c:v>
                </c:pt>
                <c:pt idx="5">
                  <c:v>20.252675911828227</c:v>
                </c:pt>
                <c:pt idx="6">
                  <c:v>20.599938938049618</c:v>
                </c:pt>
                <c:pt idx="7">
                  <c:v>20.748653631835317</c:v>
                </c:pt>
                <c:pt idx="8">
                  <c:v>20.809425688638381</c:v>
                </c:pt>
              </c:numCache>
            </c:numRef>
          </c:val>
          <c:extLst>
            <c:ext xmlns:c16="http://schemas.microsoft.com/office/drawing/2014/chart" uri="{C3380CC4-5D6E-409C-BE32-E72D297353CC}">
              <c16:uniqueId val="{00000007-BFB1-4115-A61E-CB0162C824D2}"/>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2.8704087160286185</c:v>
                </c:pt>
                <c:pt idx="1">
                  <c:v>11.419888679972297</c:v>
                </c:pt>
                <c:pt idx="2">
                  <c:v>15.996381776955396</c:v>
                </c:pt>
                <c:pt idx="3">
                  <c:v>18.497980120761213</c:v>
                </c:pt>
                <c:pt idx="4">
                  <c:v>19.836879662458209</c:v>
                </c:pt>
                <c:pt idx="5">
                  <c:v>20.510415823234418</c:v>
                </c:pt>
                <c:pt idx="6">
                  <c:v>20.821560858291338</c:v>
                </c:pt>
                <c:pt idx="7">
                  <c:v>20.95486310342249</c:v>
                </c:pt>
                <c:pt idx="8">
                  <c:v>21.009346383057363</c:v>
                </c:pt>
              </c:numCache>
            </c:numRef>
          </c:val>
          <c:extLst>
            <c:ext xmlns:c16="http://schemas.microsoft.com/office/drawing/2014/chart" uri="{C3380CC4-5D6E-409C-BE32-E72D297353CC}">
              <c16:uniqueId val="{00000008-BFB1-4115-A61E-CB0162C824D2}"/>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37163496155"/>
          <c:y val="3.5294117647058823E-2"/>
        </c:manualLayout>
      </c:layout>
      <c:overlay val="0"/>
      <c:spPr>
        <a:noFill/>
        <a:ln w="25400">
          <a:noFill/>
        </a:ln>
      </c:spPr>
    </c:title>
    <c:autoTitleDeleted val="0"/>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1.5753379830048198</c:v>
                </c:pt>
                <c:pt idx="5">
                  <c:v>2.6358412650394301</c:v>
                </c:pt>
                <c:pt idx="6">
                  <c:v>3.1081642023212512</c:v>
                </c:pt>
                <c:pt idx="7">
                  <c:v>3.3072565783511734</c:v>
                </c:pt>
                <c:pt idx="8">
                  <c:v>3.3880763723789791</c:v>
                </c:pt>
              </c:numCache>
            </c:numRef>
          </c:yVal>
          <c:smooth val="1"/>
          <c:extLst>
            <c:ext xmlns:c16="http://schemas.microsoft.com/office/drawing/2014/chart" uri="{C3380CC4-5D6E-409C-BE32-E72D297353CC}">
              <c16:uniqueId val="{00000000-7106-4A15-8C78-765CB9782DA8}"/>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0.21066357767362723</c:v>
                </c:pt>
                <c:pt idx="2">
                  <c:v>0.92419971836569759</c:v>
                </c:pt>
                <c:pt idx="3">
                  <c:v>1.2984598128043203</c:v>
                </c:pt>
                <c:pt idx="4">
                  <c:v>1.4944086545953059</c:v>
                </c:pt>
                <c:pt idx="5">
                  <c:v>1.5918606711637793</c:v>
                </c:pt>
                <c:pt idx="6">
                  <c:v>1.63662941157024</c:v>
                </c:pt>
                <c:pt idx="7">
                  <c:v>1.6557614214676146</c:v>
                </c:pt>
                <c:pt idx="8">
                  <c:v>1.6635727838635299</c:v>
                </c:pt>
              </c:numCache>
            </c:numRef>
          </c:yVal>
          <c:smooth val="1"/>
          <c:extLst>
            <c:ext xmlns:c16="http://schemas.microsoft.com/office/drawing/2014/chart" uri="{C3380CC4-5D6E-409C-BE32-E72D297353CC}">
              <c16:uniqueId val="{00000001-7106-4A15-8C78-765CB9782DA8}"/>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0.14424164402153863</c:v>
                </c:pt>
                <c:pt idx="1">
                  <c:v>0.57386375276242707</c:v>
                </c:pt>
                <c:pt idx="2">
                  <c:v>0.80383828024901494</c:v>
                </c:pt>
                <c:pt idx="3">
                  <c:v>0.9295467397367444</c:v>
                </c:pt>
                <c:pt idx="4">
                  <c:v>0.99682812374161855</c:v>
                </c:pt>
                <c:pt idx="5">
                  <c:v>1.0306741619715789</c:v>
                </c:pt>
                <c:pt idx="6">
                  <c:v>1.0463095908689115</c:v>
                </c:pt>
                <c:pt idx="7">
                  <c:v>1.053008196151884</c:v>
                </c:pt>
                <c:pt idx="8">
                  <c:v>1.0557460493998676</c:v>
                </c:pt>
              </c:numCache>
            </c:numRef>
          </c:yVal>
          <c:smooth val="1"/>
          <c:extLst>
            <c:ext xmlns:c16="http://schemas.microsoft.com/office/drawing/2014/chart" uri="{C3380CC4-5D6E-409C-BE32-E72D297353CC}">
              <c16:uniqueId val="{00000002-7106-4A15-8C78-765CB9782DA8}"/>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6.1438181337187974</c:v>
                </c:pt>
                <c:pt idx="5">
                  <c:v>10.279780933653779</c:v>
                </c:pt>
                <c:pt idx="6">
                  <c:v>12.121840389052881</c:v>
                </c:pt>
                <c:pt idx="7">
                  <c:v>12.898300655569578</c:v>
                </c:pt>
                <c:pt idx="8">
                  <c:v>13.213497852278019</c:v>
                </c:pt>
              </c:numCache>
            </c:numRef>
          </c:yVal>
          <c:smooth val="1"/>
          <c:extLst>
            <c:ext xmlns:c16="http://schemas.microsoft.com/office/drawing/2014/chart" uri="{C3380CC4-5D6E-409C-BE32-E72D297353CC}">
              <c16:uniqueId val="{00000003-7106-4A15-8C78-765CB9782DA8}"/>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2.5068965743161642</c:v>
                </c:pt>
                <c:pt idx="2">
                  <c:v>10.997976648551802</c:v>
                </c:pt>
                <c:pt idx="3">
                  <c:v>15.451671772371412</c:v>
                </c:pt>
                <c:pt idx="4">
                  <c:v>17.783462989684139</c:v>
                </c:pt>
                <c:pt idx="5">
                  <c:v>18.943141986848975</c:v>
                </c:pt>
                <c:pt idx="6">
                  <c:v>19.475889997685858</c:v>
                </c:pt>
                <c:pt idx="7">
                  <c:v>19.703560915464614</c:v>
                </c:pt>
                <c:pt idx="8">
                  <c:v>19.796516127976005</c:v>
                </c:pt>
              </c:numCache>
            </c:numRef>
          </c:yVal>
          <c:smooth val="1"/>
          <c:extLst>
            <c:ext xmlns:c16="http://schemas.microsoft.com/office/drawing/2014/chart" uri="{C3380CC4-5D6E-409C-BE32-E72D297353CC}">
              <c16:uniqueId val="{00000004-7106-4A15-8C78-765CB9782DA8}"/>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2.8704087160286185</c:v>
                </c:pt>
                <c:pt idx="1">
                  <c:v>11.419888679972297</c:v>
                </c:pt>
                <c:pt idx="2">
                  <c:v>15.996381776955396</c:v>
                </c:pt>
                <c:pt idx="3">
                  <c:v>18.497980120761213</c:v>
                </c:pt>
                <c:pt idx="4">
                  <c:v>19.836879662458209</c:v>
                </c:pt>
                <c:pt idx="5">
                  <c:v>20.510415823234418</c:v>
                </c:pt>
                <c:pt idx="6">
                  <c:v>20.821560858291338</c:v>
                </c:pt>
                <c:pt idx="7">
                  <c:v>20.95486310342249</c:v>
                </c:pt>
                <c:pt idx="8">
                  <c:v>21.009346383057363</c:v>
                </c:pt>
              </c:numCache>
            </c:numRef>
          </c:yVal>
          <c:smooth val="1"/>
          <c:extLst>
            <c:ext xmlns:c16="http://schemas.microsoft.com/office/drawing/2014/chart" uri="{C3380CC4-5D6E-409C-BE32-E72D297353CC}">
              <c16:uniqueId val="{00000005-7106-4A15-8C78-765CB9782DA8}"/>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5575258402434207"/>
              <c:y val="0.891177705727960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8495575221238937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823083176549836"/>
              <c:y val="0.23529442643199011"/>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70002882587656"/>
          <c:y val="4.1176470588235294E-2"/>
        </c:manualLayout>
      </c:layout>
      <c:overlay val="0"/>
      <c:spPr>
        <a:noFill/>
        <a:ln w="25400">
          <a:noFill/>
        </a:ln>
      </c:spPr>
    </c:title>
    <c:autoTitleDeleted val="0"/>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50.599999999999994</c:v>
                </c:pt>
                <c:pt idx="1">
                  <c:v>50.599999999999994</c:v>
                </c:pt>
                <c:pt idx="2">
                  <c:v>50.599999999999994</c:v>
                </c:pt>
                <c:pt idx="3">
                  <c:v>50.599999999999994</c:v>
                </c:pt>
                <c:pt idx="4">
                  <c:v>38.312363732562403</c:v>
                </c:pt>
                <c:pt idx="5">
                  <c:v>30.040438132692437</c:v>
                </c:pt>
                <c:pt idx="6">
                  <c:v>26.356319221894232</c:v>
                </c:pt>
                <c:pt idx="7">
                  <c:v>24.803398688860838</c:v>
                </c:pt>
                <c:pt idx="8">
                  <c:v>24.173004295443956</c:v>
                </c:pt>
              </c:numCache>
            </c:numRef>
          </c:yVal>
          <c:smooth val="1"/>
          <c:extLst>
            <c:ext xmlns:c16="http://schemas.microsoft.com/office/drawing/2014/chart" uri="{C3380CC4-5D6E-409C-BE32-E72D297353CC}">
              <c16:uniqueId val="{00000000-8432-4355-B397-65EFCB1ADCE9}"/>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50.599999999999994</c:v>
                </c:pt>
                <c:pt idx="1">
                  <c:v>45.586206851367663</c:v>
                </c:pt>
                <c:pt idx="2">
                  <c:v>28.60404670289639</c:v>
                </c:pt>
                <c:pt idx="3">
                  <c:v>19.69665645525717</c:v>
                </c:pt>
                <c:pt idx="4">
                  <c:v>15.033074020631716</c:v>
                </c:pt>
                <c:pt idx="5">
                  <c:v>12.713716026302045</c:v>
                </c:pt>
                <c:pt idx="6">
                  <c:v>11.648220004628278</c:v>
                </c:pt>
                <c:pt idx="7">
                  <c:v>11.192878169070767</c:v>
                </c:pt>
                <c:pt idx="8">
                  <c:v>11.006967744047984</c:v>
                </c:pt>
              </c:numCache>
            </c:numRef>
          </c:yVal>
          <c:smooth val="1"/>
          <c:extLst>
            <c:ext xmlns:c16="http://schemas.microsoft.com/office/drawing/2014/chart" uri="{C3380CC4-5D6E-409C-BE32-E72D297353CC}">
              <c16:uniqueId val="{00000001-8432-4355-B397-65EFCB1ADCE9}"/>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44.85918256794276</c:v>
                </c:pt>
                <c:pt idx="1">
                  <c:v>27.7602226400554</c:v>
                </c:pt>
                <c:pt idx="2">
                  <c:v>18.607236446089203</c:v>
                </c:pt>
                <c:pt idx="3">
                  <c:v>13.604039758477569</c:v>
                </c:pt>
                <c:pt idx="4">
                  <c:v>10.926240675083577</c:v>
                </c:pt>
                <c:pt idx="5">
                  <c:v>9.5791683535311591</c:v>
                </c:pt>
                <c:pt idx="6">
                  <c:v>8.9568782834173177</c:v>
                </c:pt>
                <c:pt idx="7">
                  <c:v>8.6902737931550149</c:v>
                </c:pt>
                <c:pt idx="8">
                  <c:v>8.5813072338852692</c:v>
                </c:pt>
              </c:numCache>
            </c:numRef>
          </c:yVal>
          <c:smooth val="1"/>
          <c:extLst>
            <c:ext xmlns:c16="http://schemas.microsoft.com/office/drawing/2014/chart" uri="{C3380CC4-5D6E-409C-BE32-E72D297353CC}">
              <c16:uniqueId val="{00000002-8432-4355-B397-65EFCB1ADCE9}"/>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0.24283866141181012</c:v>
                </c:pt>
                <c:pt idx="5">
                  <c:v>0.40631545192307433</c:v>
                </c:pt>
                <c:pt idx="6">
                  <c:v>0.47912412604952104</c:v>
                </c:pt>
                <c:pt idx="7">
                  <c:v>0.50981425516085299</c:v>
                </c:pt>
                <c:pt idx="8">
                  <c:v>0.52227264238253046</c:v>
                </c:pt>
              </c:numCache>
            </c:numRef>
          </c:yVal>
          <c:smooth val="1"/>
          <c:extLst>
            <c:ext xmlns:c16="http://schemas.microsoft.com/office/drawing/2014/chart" uri="{C3380CC4-5D6E-409C-BE32-E72D297353CC}">
              <c16:uniqueId val="{00000003-8432-4355-B397-65EFCB1ADCE9}"/>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9.9086821119216045E-2</c:v>
                </c:pt>
                <c:pt idx="2">
                  <c:v>0.4347026343301108</c:v>
                </c:pt>
                <c:pt idx="3">
                  <c:v>0.61073801471823774</c:v>
                </c:pt>
                <c:pt idx="4">
                  <c:v>0.70290367548158661</c:v>
                </c:pt>
                <c:pt idx="5">
                  <c:v>0.74874078999403071</c:v>
                </c:pt>
                <c:pt idx="6">
                  <c:v>0.769798023623947</c:v>
                </c:pt>
                <c:pt idx="7">
                  <c:v>0.7787968741290362</c:v>
                </c:pt>
                <c:pt idx="8">
                  <c:v>0.78247099320063274</c:v>
                </c:pt>
              </c:numCache>
            </c:numRef>
          </c:yVal>
          <c:smooth val="1"/>
          <c:extLst>
            <c:ext xmlns:c16="http://schemas.microsoft.com/office/drawing/2014/chart" uri="{C3380CC4-5D6E-409C-BE32-E72D297353CC}">
              <c16:uniqueId val="{00000004-8432-4355-B397-65EFCB1ADCE9}"/>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0.11345488996160544</c:v>
                </c:pt>
                <c:pt idx="1">
                  <c:v>0.45137899920839125</c:v>
                </c:pt>
                <c:pt idx="2">
                  <c:v>0.63226805442511447</c:v>
                </c:pt>
                <c:pt idx="3">
                  <c:v>0.73114545931862507</c:v>
                </c:pt>
                <c:pt idx="4">
                  <c:v>0.7840663898204826</c:v>
                </c:pt>
                <c:pt idx="5">
                  <c:v>0.81068837245985848</c:v>
                </c:pt>
                <c:pt idx="6">
                  <c:v>0.822986595189381</c:v>
                </c:pt>
                <c:pt idx="7">
                  <c:v>0.82825545863330008</c:v>
                </c:pt>
                <c:pt idx="8">
                  <c:v>0.83040894794693143</c:v>
                </c:pt>
              </c:numCache>
            </c:numRef>
          </c:yVal>
          <c:smooth val="1"/>
          <c:extLst>
            <c:ext xmlns:c16="http://schemas.microsoft.com/office/drawing/2014/chart" uri="{C3380CC4-5D6E-409C-BE32-E72D297353CC}">
              <c16:uniqueId val="{00000005-8432-4355-B397-65EFCB1ADCE9}"/>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71875047410981"/>
              <c:y val="0.882354176316195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'VS&amp;RT'!$G$30:$G$38</c:f>
              <c:numCache>
                <c:formatCode>0.000</c:formatCode>
                <c:ptCount val="9"/>
                <c:pt idx="0">
                  <c:v>1.1757747899003355</c:v>
                </c:pt>
                <c:pt idx="1">
                  <c:v>1.3416987182728972</c:v>
                </c:pt>
                <c:pt idx="2">
                  <c:v>1.4789185274372934</c:v>
                </c:pt>
                <c:pt idx="3">
                  <c:v>1.5662328657747282</c:v>
                </c:pt>
                <c:pt idx="4">
                  <c:v>1.5753379830048184</c:v>
                </c:pt>
                <c:pt idx="5">
                  <c:v>1.4804631158411228</c:v>
                </c:pt>
                <c:pt idx="6">
                  <c:v>1.2788494203272149</c:v>
                </c:pt>
                <c:pt idx="7">
                  <c:v>1.006676951861369</c:v>
                </c:pt>
                <c:pt idx="8">
                  <c:v>0.72546062628493813</c:v>
                </c:pt>
              </c:numCache>
            </c:numRef>
          </c:yVal>
          <c:smooth val="1"/>
          <c:extLst>
            <c:ext xmlns:c16="http://schemas.microsoft.com/office/drawing/2014/chart" uri="{C3380CC4-5D6E-409C-BE32-E72D297353CC}">
              <c16:uniqueId val="{00000000-6BF6-4B87-9613-A2C35B0E139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'VS&amp;RT'!$G$39:$G$47</c:f>
              <c:numCache>
                <c:formatCode>0.000</c:formatCode>
                <c:ptCount val="9"/>
                <c:pt idx="0">
                  <c:v>0.95826747544732094</c:v>
                </c:pt>
                <c:pt idx="1">
                  <c:v>1.1092663911264375</c:v>
                </c:pt>
                <c:pt idx="2">
                  <c:v>1.2537122913055865</c:v>
                </c:pt>
                <c:pt idx="3">
                  <c:v>1.3856276933065639</c:v>
                </c:pt>
                <c:pt idx="4">
                  <c:v>1.4944086545953059</c:v>
                </c:pt>
                <c:pt idx="5">
                  <c:v>1.5627581793044825</c:v>
                </c:pt>
                <c:pt idx="6">
                  <c:v>1.5664512739653293</c:v>
                </c:pt>
                <c:pt idx="7">
                  <c:v>1.4805757433884825</c:v>
                </c:pt>
                <c:pt idx="8">
                  <c:v>1.296065831947357</c:v>
                </c:pt>
              </c:numCache>
            </c:numRef>
          </c:yVal>
          <c:smooth val="1"/>
          <c:extLst>
            <c:ext xmlns:c16="http://schemas.microsoft.com/office/drawing/2014/chart" uri="{C3380CC4-5D6E-409C-BE32-E72D297353CC}">
              <c16:uniqueId val="{00000001-6BF6-4B87-9613-A2C35B0E139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'VS&amp;RT'!$G$48:$G$56</c:f>
              <c:numCache>
                <c:formatCode>0.000</c:formatCode>
                <c:ptCount val="9"/>
                <c:pt idx="0">
                  <c:v>0.62370299932167883</c:v>
                </c:pt>
                <c:pt idx="1">
                  <c:v>0.72352604987739078</c:v>
                </c:pt>
                <c:pt idx="2">
                  <c:v>0.82087054124572556</c:v>
                </c:pt>
                <c:pt idx="3">
                  <c:v>0.91340596790013706</c:v>
                </c:pt>
                <c:pt idx="4">
                  <c:v>0.99682812374161855</c:v>
                </c:pt>
                <c:pt idx="5">
                  <c:v>1.0635758027818421</c:v>
                </c:pt>
                <c:pt idx="6">
                  <c:v>1.1014733198178821</c:v>
                </c:pt>
                <c:pt idx="7">
                  <c:v>1.0938099055427337</c:v>
                </c:pt>
                <c:pt idx="8">
                  <c:v>1.0241092455788126</c:v>
                </c:pt>
              </c:numCache>
            </c:numRef>
          </c:yVal>
          <c:smooth val="1"/>
          <c:extLst>
            <c:ext xmlns:c16="http://schemas.microsoft.com/office/drawing/2014/chart" uri="{C3380CC4-5D6E-409C-BE32-E72D297353CC}">
              <c16:uniqueId val="{00000002-6BF6-4B87-9613-A2C35B0E139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'VS&amp;RT'!$H$30:$H$38</c:f>
              <c:numCache>
                <c:formatCode>0.0</c:formatCode>
                <c:ptCount val="9"/>
                <c:pt idx="0">
                  <c:v>4.5855216806113086</c:v>
                </c:pt>
                <c:pt idx="1">
                  <c:v>5.2326250012642994</c:v>
                </c:pt>
                <c:pt idx="2">
                  <c:v>5.7677822570054449</c:v>
                </c:pt>
                <c:pt idx="3">
                  <c:v>6.1083081765214402</c:v>
                </c:pt>
                <c:pt idx="4">
                  <c:v>6.143818133718792</c:v>
                </c:pt>
                <c:pt idx="5">
                  <c:v>5.7738061517803789</c:v>
                </c:pt>
                <c:pt idx="6">
                  <c:v>4.9875127392761387</c:v>
                </c:pt>
                <c:pt idx="7">
                  <c:v>3.9260401122593391</c:v>
                </c:pt>
                <c:pt idx="8">
                  <c:v>2.829296442511259</c:v>
                </c:pt>
              </c:numCache>
            </c:numRef>
          </c:yVal>
          <c:smooth val="1"/>
          <c:extLst>
            <c:ext xmlns:c16="http://schemas.microsoft.com/office/drawing/2014/chart" uri="{C3380CC4-5D6E-409C-BE32-E72D297353CC}">
              <c16:uniqueId val="{00000003-6BF6-4B87-9613-A2C35B0E139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'VS&amp;RT'!$H$39:$H$47</c:f>
              <c:numCache>
                <c:formatCode>0.0</c:formatCode>
                <c:ptCount val="9"/>
                <c:pt idx="0">
                  <c:v>11.403382957823119</c:v>
                </c:pt>
                <c:pt idx="1">
                  <c:v>13.200270054404607</c:v>
                </c:pt>
                <c:pt idx="2">
                  <c:v>14.91917626653648</c:v>
                </c:pt>
                <c:pt idx="3">
                  <c:v>16.488969550348109</c:v>
                </c:pt>
                <c:pt idx="4">
                  <c:v>17.783462989684139</c:v>
                </c:pt>
                <c:pt idx="5">
                  <c:v>18.596822333723342</c:v>
                </c:pt>
                <c:pt idx="6">
                  <c:v>18.640770160187419</c:v>
                </c:pt>
                <c:pt idx="7">
                  <c:v>17.618851346322941</c:v>
                </c:pt>
                <c:pt idx="8">
                  <c:v>15.423183400173549</c:v>
                </c:pt>
              </c:numCache>
            </c:numRef>
          </c:yVal>
          <c:smooth val="1"/>
          <c:extLst>
            <c:ext xmlns:c16="http://schemas.microsoft.com/office/drawing/2014/chart" uri="{C3380CC4-5D6E-409C-BE32-E72D297353CC}">
              <c16:uniqueId val="{00000004-6BF6-4B87-9613-A2C35B0E139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'VS&amp;RT'!$H$48:$H$56</c:f>
              <c:numCache>
                <c:formatCode>0.0</c:formatCode>
                <c:ptCount val="9"/>
                <c:pt idx="0">
                  <c:v>12.411689686501408</c:v>
                </c:pt>
                <c:pt idx="1">
                  <c:v>14.398168392560075</c:v>
                </c:pt>
                <c:pt idx="2">
                  <c:v>16.335323770789937</c:v>
                </c:pt>
                <c:pt idx="3">
                  <c:v>18.176778761212727</c:v>
                </c:pt>
                <c:pt idx="4">
                  <c:v>19.836879662458209</c:v>
                </c:pt>
                <c:pt idx="5">
                  <c:v>21.165158475358655</c:v>
                </c:pt>
                <c:pt idx="6">
                  <c:v>21.919319064375852</c:v>
                </c:pt>
                <c:pt idx="7">
                  <c:v>21.766817120300399</c:v>
                </c:pt>
                <c:pt idx="8">
                  <c:v>20.379773987018368</c:v>
                </c:pt>
              </c:numCache>
            </c:numRef>
          </c:yVal>
          <c:smooth val="1"/>
          <c:extLst>
            <c:ext xmlns:c16="http://schemas.microsoft.com/office/drawing/2014/chart" uri="{C3380CC4-5D6E-409C-BE32-E72D297353CC}">
              <c16:uniqueId val="{00000005-6BF6-4B87-9613-A2C35B0E139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'VS&amp;RT'!$I$30:$I$38</c:f>
              <c:numCache>
                <c:formatCode>0.0</c:formatCode>
                <c:ptCount val="9"/>
                <c:pt idx="0">
                  <c:v>21.428956638777386</c:v>
                </c:pt>
                <c:pt idx="1">
                  <c:v>25.134749997471403</c:v>
                </c:pt>
                <c:pt idx="2">
                  <c:v>29.064435485989112</c:v>
                </c:pt>
                <c:pt idx="3">
                  <c:v>33.383383646957121</c:v>
                </c:pt>
                <c:pt idx="4">
                  <c:v>38.312363732562417</c:v>
                </c:pt>
                <c:pt idx="5">
                  <c:v>44.05238769643924</c:v>
                </c:pt>
                <c:pt idx="6">
                  <c:v>50.624974521447726</c:v>
                </c:pt>
                <c:pt idx="7">
                  <c:v>57.747919775481314</c:v>
                </c:pt>
                <c:pt idx="8">
                  <c:v>64.94140711497748</c:v>
                </c:pt>
              </c:numCache>
            </c:numRef>
          </c:yVal>
          <c:smooth val="1"/>
          <c:extLst>
            <c:ext xmlns:c16="http://schemas.microsoft.com/office/drawing/2014/chart" uri="{C3380CC4-5D6E-409C-BE32-E72D297353CC}">
              <c16:uniqueId val="{00000000-CF07-4F63-92F9-1DC3E976DBD2}"/>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'VS&amp;RT'!$I$39:$I$47</c:f>
              <c:numCache>
                <c:formatCode>0.0</c:formatCode>
                <c:ptCount val="9"/>
                <c:pt idx="0">
                  <c:v>7.7932340843537631</c:v>
                </c:pt>
                <c:pt idx="1">
                  <c:v>9.1994598911907879</c:v>
                </c:pt>
                <c:pt idx="2">
                  <c:v>10.761647466927041</c:v>
                </c:pt>
                <c:pt idx="3">
                  <c:v>12.622060899303783</c:v>
                </c:pt>
                <c:pt idx="4">
                  <c:v>15.033074020631723</c:v>
                </c:pt>
                <c:pt idx="5">
                  <c:v>18.406355332553318</c:v>
                </c:pt>
                <c:pt idx="6">
                  <c:v>23.318459679625164</c:v>
                </c:pt>
                <c:pt idx="7">
                  <c:v>30.362297307354112</c:v>
                </c:pt>
                <c:pt idx="8">
                  <c:v>39.753633199652896</c:v>
                </c:pt>
              </c:numCache>
            </c:numRef>
          </c:yVal>
          <c:smooth val="1"/>
          <c:extLst>
            <c:ext xmlns:c16="http://schemas.microsoft.com/office/drawing/2014/chart" uri="{C3380CC4-5D6E-409C-BE32-E72D297353CC}">
              <c16:uniqueId val="{00000001-CF07-4F63-92F9-1DC3E976DBD2}"/>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'VS&amp;RT'!$I$48:$I$56</c:f>
              <c:numCache>
                <c:formatCode>0.0</c:formatCode>
                <c:ptCount val="9"/>
                <c:pt idx="0">
                  <c:v>5.776620626997186</c:v>
                </c:pt>
                <c:pt idx="1">
                  <c:v>6.803663214879851</c:v>
                </c:pt>
                <c:pt idx="2">
                  <c:v>7.9293524584201265</c:v>
                </c:pt>
                <c:pt idx="3">
                  <c:v>9.2464424775745471</c:v>
                </c:pt>
                <c:pt idx="4">
                  <c:v>10.926240675083584</c:v>
                </c:pt>
                <c:pt idx="5">
                  <c:v>13.26968304928269</c:v>
                </c:pt>
                <c:pt idx="6">
                  <c:v>16.761361871248297</c:v>
                </c:pt>
                <c:pt idx="7">
                  <c:v>22.066365759399197</c:v>
                </c:pt>
                <c:pt idx="8">
                  <c:v>29.840452025963259</c:v>
                </c:pt>
              </c:numCache>
            </c:numRef>
          </c:yVal>
          <c:smooth val="1"/>
          <c:extLst>
            <c:ext xmlns:c16="http://schemas.microsoft.com/office/drawing/2014/chart" uri="{C3380CC4-5D6E-409C-BE32-E72D297353CC}">
              <c16:uniqueId val="{00000002-CF07-4F63-92F9-1DC3E976DBD2}"/>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30.6</c:v>
                </c:pt>
                <c:pt idx="1">
                  <c:v>35.6</c:v>
                </c:pt>
                <c:pt idx="2">
                  <c:v>40.6</c:v>
                </c:pt>
                <c:pt idx="3">
                  <c:v>45.6</c:v>
                </c:pt>
                <c:pt idx="4" formatCode="0.0">
                  <c:v>50.6</c:v>
                </c:pt>
                <c:pt idx="5">
                  <c:v>55.6</c:v>
                </c:pt>
                <c:pt idx="6">
                  <c:v>60.6</c:v>
                </c:pt>
                <c:pt idx="7">
                  <c:v>65.599999999999994</c:v>
                </c:pt>
                <c:pt idx="8">
                  <c:v>70.599999999999994</c:v>
                </c:pt>
              </c:numCache>
            </c:numRef>
          </c:xVal>
          <c:yVal>
            <c:numRef>
              <c:f>'VS&amp;RT'!$J$30:$J$38</c:f>
              <c:numCache>
                <c:formatCode>0%</c:formatCode>
                <c:ptCount val="9"/>
                <c:pt idx="0">
                  <c:v>0.29970729938635998</c:v>
                </c:pt>
                <c:pt idx="1">
                  <c:v>0.29396769670024153</c:v>
                </c:pt>
                <c:pt idx="2">
                  <c:v>0.28412720477859332</c:v>
                </c:pt>
                <c:pt idx="3">
                  <c:v>0.2679082533562035</c:v>
                </c:pt>
                <c:pt idx="4">
                  <c:v>0.24283866141180996</c:v>
                </c:pt>
                <c:pt idx="5">
                  <c:v>0.20769086876907844</c:v>
                </c:pt>
                <c:pt idx="6">
                  <c:v>0.16460438083419596</c:v>
                </c:pt>
                <c:pt idx="7">
                  <c:v>0.1196963448859555</c:v>
                </c:pt>
                <c:pt idx="8">
                  <c:v>8.0150040864341576E-2</c:v>
                </c:pt>
              </c:numCache>
            </c:numRef>
          </c:yVal>
          <c:smooth val="1"/>
          <c:extLst>
            <c:ext xmlns:c16="http://schemas.microsoft.com/office/drawing/2014/chart" uri="{C3380CC4-5D6E-409C-BE32-E72D297353CC}">
              <c16:uniqueId val="{00000003-CF07-4F63-92F9-1DC3E976DBD2}"/>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'VS&amp;RT'!$J$39:$J$47</c:f>
              <c:numCache>
                <c:formatCode>0%</c:formatCode>
                <c:ptCount val="9"/>
                <c:pt idx="0">
                  <c:v>0.74531914757013851</c:v>
                </c:pt>
                <c:pt idx="1">
                  <c:v>0.74158820530362957</c:v>
                </c:pt>
                <c:pt idx="2">
                  <c:v>0.73493479145499896</c:v>
                </c:pt>
                <c:pt idx="3">
                  <c:v>0.72320041887491704</c:v>
                </c:pt>
                <c:pt idx="4">
                  <c:v>0.7029036754815865</c:v>
                </c:pt>
                <c:pt idx="5">
                  <c:v>0.66895044365911305</c:v>
                </c:pt>
                <c:pt idx="6">
                  <c:v>0.61520693597978282</c:v>
                </c:pt>
                <c:pt idx="7">
                  <c:v>0.5371601020220409</c:v>
                </c:pt>
                <c:pt idx="8">
                  <c:v>0.43691737677545467</c:v>
                </c:pt>
              </c:numCache>
            </c:numRef>
          </c:yVal>
          <c:smooth val="1"/>
          <c:extLst>
            <c:ext xmlns:c16="http://schemas.microsoft.com/office/drawing/2014/chart" uri="{C3380CC4-5D6E-409C-BE32-E72D297353CC}">
              <c16:uniqueId val="{00000004-CF07-4F63-92F9-1DC3E976DBD2}"/>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30.6</c:v>
                </c:pt>
                <c:pt idx="1">
                  <c:v>35.6</c:v>
                </c:pt>
                <c:pt idx="2">
                  <c:v>40.6</c:v>
                </c:pt>
                <c:pt idx="3">
                  <c:v>45.6</c:v>
                </c:pt>
                <c:pt idx="4">
                  <c:v>50.6</c:v>
                </c:pt>
                <c:pt idx="5">
                  <c:v>55.6</c:v>
                </c:pt>
                <c:pt idx="6">
                  <c:v>60.6</c:v>
                </c:pt>
                <c:pt idx="7">
                  <c:v>65.599999999999994</c:v>
                </c:pt>
                <c:pt idx="8">
                  <c:v>70.599999999999994</c:v>
                </c:pt>
              </c:numCache>
            </c:numRef>
          </c:xVal>
          <c:yVal>
            <c:numRef>
              <c:f>'VS&amp;RT'!$J$48:$J$56</c:f>
              <c:numCache>
                <c:formatCode>0%</c:formatCode>
                <c:ptCount val="9"/>
                <c:pt idx="0">
                  <c:v>0.81122154813734682</c:v>
                </c:pt>
                <c:pt idx="1">
                  <c:v>0.80888586475056601</c:v>
                </c:pt>
                <c:pt idx="2">
                  <c:v>0.80469575225566192</c:v>
                </c:pt>
                <c:pt idx="3">
                  <c:v>0.79722713864968098</c:v>
                </c:pt>
                <c:pt idx="4">
                  <c:v>0.78406638982048249</c:v>
                </c:pt>
                <c:pt idx="5">
                  <c:v>0.76133663580426814</c:v>
                </c:pt>
                <c:pt idx="6">
                  <c:v>0.72340987011141422</c:v>
                </c:pt>
                <c:pt idx="7">
                  <c:v>0.6636224731798902</c:v>
                </c:pt>
                <c:pt idx="8">
                  <c:v>0.57733070784754592</c:v>
                </c:pt>
              </c:numCache>
            </c:numRef>
          </c:yVal>
          <c:smooth val="1"/>
          <c:extLst>
            <c:ext xmlns:c16="http://schemas.microsoft.com/office/drawing/2014/chart" uri="{C3380CC4-5D6E-409C-BE32-E72D297353CC}">
              <c16:uniqueId val="{00000005-CF07-4F63-92F9-1DC3E976DBD2}"/>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30.6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0.1657209453553336</c:v>
                </c:pt>
                <c:pt idx="2">
                  <c:v>0.64564509067415532</c:v>
                </c:pt>
                <c:pt idx="3">
                  <c:v>0.85679481461920637</c:v>
                </c:pt>
                <c:pt idx="4">
                  <c:v>0.95826747544732094</c:v>
                </c:pt>
                <c:pt idx="5">
                  <c:v>1.0066305515037353</c:v>
                </c:pt>
                <c:pt idx="6">
                  <c:v>1.0284022982437371</c:v>
                </c:pt>
                <c:pt idx="7">
                  <c:v>1.037622824264661</c:v>
                </c:pt>
                <c:pt idx="8">
                  <c:v>1.0413731914250741</c:v>
                </c:pt>
              </c:numCache>
            </c:numRef>
          </c:yVal>
          <c:smooth val="1"/>
          <c:extLst>
            <c:ext xmlns:c16="http://schemas.microsoft.com/office/drawing/2014/chart" uri="{C3380CC4-5D6E-409C-BE32-E72D297353CC}">
              <c16:uniqueId val="{00000000-80F4-4937-86CE-4272467FE36E}"/>
            </c:ext>
          </c:extLst>
        </c:ser>
        <c:ser>
          <c:idx val="0"/>
          <c:order val="1"/>
          <c:tx>
            <c:strRef>
              <c:f>'Temp&amp;VS'!$B$39</c:f>
              <c:strCache>
                <c:ptCount val="1"/>
                <c:pt idx="0">
                  <c:v>50.6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0.21066357767362701</c:v>
                </c:pt>
                <c:pt idx="2">
                  <c:v>0.92419971836569714</c:v>
                </c:pt>
                <c:pt idx="3">
                  <c:v>1.2984598128043203</c:v>
                </c:pt>
                <c:pt idx="4">
                  <c:v>1.4944086545953059</c:v>
                </c:pt>
                <c:pt idx="5">
                  <c:v>1.5918606711637793</c:v>
                </c:pt>
                <c:pt idx="6">
                  <c:v>1.6366294115702398</c:v>
                </c:pt>
                <c:pt idx="7">
                  <c:v>1.6557614214676144</c:v>
                </c:pt>
                <c:pt idx="8">
                  <c:v>1.6635727838635299</c:v>
                </c:pt>
              </c:numCache>
            </c:numRef>
          </c:yVal>
          <c:smooth val="1"/>
          <c:extLst>
            <c:ext xmlns:c16="http://schemas.microsoft.com/office/drawing/2014/chart" uri="{C3380CC4-5D6E-409C-BE32-E72D297353CC}">
              <c16:uniqueId val="{00000001-80F4-4937-86CE-4272467FE36E}"/>
            </c:ext>
          </c:extLst>
        </c:ser>
        <c:ser>
          <c:idx val="1"/>
          <c:order val="2"/>
          <c:tx>
            <c:strRef>
              <c:f>'Temp&amp;VS'!$B$48</c:f>
              <c:strCache>
                <c:ptCount val="1"/>
                <c:pt idx="0">
                  <c:v>70.6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8.4613022068658728E-2</c:v>
                </c:pt>
                <c:pt idx="2">
                  <c:v>0.52909286884825246</c:v>
                </c:pt>
                <c:pt idx="3">
                  <c:v>0.95681430740865359</c:v>
                </c:pt>
                <c:pt idx="4">
                  <c:v>1.296065831947357</c:v>
                </c:pt>
                <c:pt idx="5">
                  <c:v>1.5138044803534758</c:v>
                </c:pt>
                <c:pt idx="6">
                  <c:v>1.6285718569199237</c:v>
                </c:pt>
                <c:pt idx="7">
                  <c:v>1.6809308804797483</c:v>
                </c:pt>
                <c:pt idx="8">
                  <c:v>1.7029223470498323</c:v>
                </c:pt>
              </c:numCache>
            </c:numRef>
          </c:yVal>
          <c:smooth val="1"/>
          <c:extLst>
            <c:ext xmlns:c16="http://schemas.microsoft.com/office/drawing/2014/chart" uri="{C3380CC4-5D6E-409C-BE32-E72D297353CC}">
              <c16:uniqueId val="{00000002-80F4-4937-86CE-4272467FE36E}"/>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30.6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1.97207924972847</c:v>
                </c:pt>
                <c:pt idx="2">
                  <c:v>7.6831765790224482</c:v>
                </c:pt>
                <c:pt idx="3">
                  <c:v>10.195858293968556</c:v>
                </c:pt>
                <c:pt idx="4">
                  <c:v>11.403382957823119</c:v>
                </c:pt>
                <c:pt idx="5">
                  <c:v>11.97890356289445</c:v>
                </c:pt>
                <c:pt idx="6">
                  <c:v>12.237987349100472</c:v>
                </c:pt>
                <c:pt idx="7">
                  <c:v>12.347711608749467</c:v>
                </c:pt>
                <c:pt idx="8">
                  <c:v>12.392340977958382</c:v>
                </c:pt>
              </c:numCache>
            </c:numRef>
          </c:yVal>
          <c:smooth val="0"/>
          <c:extLst>
            <c:ext xmlns:c16="http://schemas.microsoft.com/office/drawing/2014/chart" uri="{C3380CC4-5D6E-409C-BE32-E72D297353CC}">
              <c16:uniqueId val="{00000003-80F4-4937-86CE-4272467FE36E}"/>
            </c:ext>
          </c:extLst>
        </c:ser>
        <c:ser>
          <c:idx val="4"/>
          <c:order val="4"/>
          <c:tx>
            <c:strRef>
              <c:f>'Temp&amp;VS'!$B$39</c:f>
              <c:strCache>
                <c:ptCount val="1"/>
                <c:pt idx="0">
                  <c:v>50.6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2.5068965743161615</c:v>
                </c:pt>
                <c:pt idx="2">
                  <c:v>10.997976648551797</c:v>
                </c:pt>
                <c:pt idx="3">
                  <c:v>15.451671772371412</c:v>
                </c:pt>
                <c:pt idx="4">
                  <c:v>17.783462989684139</c:v>
                </c:pt>
                <c:pt idx="5">
                  <c:v>18.943141986848975</c:v>
                </c:pt>
                <c:pt idx="6">
                  <c:v>19.475889997685854</c:v>
                </c:pt>
                <c:pt idx="7">
                  <c:v>19.70356091546461</c:v>
                </c:pt>
                <c:pt idx="8">
                  <c:v>19.796516127976005</c:v>
                </c:pt>
              </c:numCache>
            </c:numRef>
          </c:yVal>
          <c:smooth val="0"/>
          <c:extLst>
            <c:ext xmlns:c16="http://schemas.microsoft.com/office/drawing/2014/chart" uri="{C3380CC4-5D6E-409C-BE32-E72D297353CC}">
              <c16:uniqueId val="{00000004-80F4-4937-86CE-4272467FE36E}"/>
            </c:ext>
          </c:extLst>
        </c:ser>
        <c:ser>
          <c:idx val="5"/>
          <c:order val="5"/>
          <c:tx>
            <c:strRef>
              <c:f>'Temp&amp;VS'!$B$48</c:f>
              <c:strCache>
                <c:ptCount val="1"/>
                <c:pt idx="0">
                  <c:v>70.6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1.0068949626170389</c:v>
                </c:pt>
                <c:pt idx="2">
                  <c:v>6.2962051392942042</c:v>
                </c:pt>
                <c:pt idx="3">
                  <c:v>11.386090258162978</c:v>
                </c:pt>
                <c:pt idx="4">
                  <c:v>15.423183400173549</c:v>
                </c:pt>
                <c:pt idx="5">
                  <c:v>18.014273316206364</c:v>
                </c:pt>
                <c:pt idx="6">
                  <c:v>19.380005097347091</c:v>
                </c:pt>
                <c:pt idx="7">
                  <c:v>20.003077477709006</c:v>
                </c:pt>
                <c:pt idx="8">
                  <c:v>20.264775929893005</c:v>
                </c:pt>
              </c:numCache>
            </c:numRef>
          </c:yVal>
          <c:smooth val="0"/>
          <c:extLst>
            <c:ext xmlns:c16="http://schemas.microsoft.com/office/drawing/2014/chart" uri="{C3380CC4-5D6E-409C-BE32-E72D297353CC}">
              <c16:uniqueId val="{00000005-80F4-4937-86CE-4272467FE36E}"/>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30.6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30.6</c:v>
                </c:pt>
                <c:pt idx="1">
                  <c:v>26.655841500543062</c:v>
                </c:pt>
                <c:pt idx="2">
                  <c:v>15.233646841955105</c:v>
                </c:pt>
                <c:pt idx="3">
                  <c:v>10.20828341206289</c:v>
                </c:pt>
                <c:pt idx="4">
                  <c:v>7.7932340843537631</c:v>
                </c:pt>
                <c:pt idx="5">
                  <c:v>6.6421928742111014</c:v>
                </c:pt>
                <c:pt idx="6">
                  <c:v>6.1240253017990582</c:v>
                </c:pt>
                <c:pt idx="7">
                  <c:v>5.9045767825010671</c:v>
                </c:pt>
                <c:pt idx="8">
                  <c:v>5.8153180440832379</c:v>
                </c:pt>
              </c:numCache>
            </c:numRef>
          </c:yVal>
          <c:smooth val="1"/>
          <c:extLst>
            <c:ext xmlns:c16="http://schemas.microsoft.com/office/drawing/2014/chart" uri="{C3380CC4-5D6E-409C-BE32-E72D297353CC}">
              <c16:uniqueId val="{00000000-43C7-4B02-8F68-C76ACBB7F572}"/>
            </c:ext>
          </c:extLst>
        </c:ser>
        <c:ser>
          <c:idx val="1"/>
          <c:order val="1"/>
          <c:tx>
            <c:strRef>
              <c:f>'Temp&amp;VS'!$B$39</c:f>
              <c:strCache>
                <c:ptCount val="1"/>
                <c:pt idx="0">
                  <c:v>50.6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50.6</c:v>
                </c:pt>
                <c:pt idx="1">
                  <c:v>45.586206851367677</c:v>
                </c:pt>
                <c:pt idx="2">
                  <c:v>28.604046702896408</c:v>
                </c:pt>
                <c:pt idx="3">
                  <c:v>19.696656455257177</c:v>
                </c:pt>
                <c:pt idx="4">
                  <c:v>15.033074020631723</c:v>
                </c:pt>
                <c:pt idx="5">
                  <c:v>12.713716026302052</c:v>
                </c:pt>
                <c:pt idx="6">
                  <c:v>11.648220004628293</c:v>
                </c:pt>
                <c:pt idx="7">
                  <c:v>11.192878169070781</c:v>
                </c:pt>
                <c:pt idx="8">
                  <c:v>11.006967744047991</c:v>
                </c:pt>
              </c:numCache>
            </c:numRef>
          </c:yVal>
          <c:smooth val="1"/>
          <c:extLst>
            <c:ext xmlns:c16="http://schemas.microsoft.com/office/drawing/2014/chart" uri="{C3380CC4-5D6E-409C-BE32-E72D297353CC}">
              <c16:uniqueId val="{00000001-43C7-4B02-8F68-C76ACBB7F572}"/>
            </c:ext>
          </c:extLst>
        </c:ser>
        <c:ser>
          <c:idx val="2"/>
          <c:order val="2"/>
          <c:tx>
            <c:strRef>
              <c:f>'Temp&amp;VS'!$B$48</c:f>
              <c:strCache>
                <c:ptCount val="1"/>
                <c:pt idx="0">
                  <c:v>70.6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70.599999999999994</c:v>
                </c:pt>
                <c:pt idx="1">
                  <c:v>68.586210074765916</c:v>
                </c:pt>
                <c:pt idx="2">
                  <c:v>58.007589721411584</c:v>
                </c:pt>
                <c:pt idx="3">
                  <c:v>47.827819483674034</c:v>
                </c:pt>
                <c:pt idx="4">
                  <c:v>39.753633199652896</c:v>
                </c:pt>
                <c:pt idx="5">
                  <c:v>34.571453367587267</c:v>
                </c:pt>
                <c:pt idx="6">
                  <c:v>31.839989805305812</c:v>
                </c:pt>
                <c:pt idx="7">
                  <c:v>30.593845044581983</c:v>
                </c:pt>
                <c:pt idx="8">
                  <c:v>30.070448140213983</c:v>
                </c:pt>
              </c:numCache>
            </c:numRef>
          </c:yVal>
          <c:smooth val="1"/>
          <c:extLst>
            <c:ext xmlns:c16="http://schemas.microsoft.com/office/drawing/2014/chart" uri="{C3380CC4-5D6E-409C-BE32-E72D297353CC}">
              <c16:uniqueId val="{00000002-43C7-4B02-8F68-C76ACBB7F572}"/>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30.6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0.1288940686097039</c:v>
                </c:pt>
                <c:pt idx="2">
                  <c:v>0.50216840385767636</c:v>
                </c:pt>
                <c:pt idx="3">
                  <c:v>0.6663959669260493</c:v>
                </c:pt>
                <c:pt idx="4">
                  <c:v>0.74531914757013851</c:v>
                </c:pt>
                <c:pt idx="5">
                  <c:v>0.78293487339179413</c:v>
                </c:pt>
                <c:pt idx="6">
                  <c:v>0.79986845418957331</c:v>
                </c:pt>
                <c:pt idx="7">
                  <c:v>0.80703997442806974</c:v>
                </c:pt>
                <c:pt idx="8">
                  <c:v>0.80995692666394647</c:v>
                </c:pt>
              </c:numCache>
            </c:numRef>
          </c:yVal>
          <c:smooth val="1"/>
          <c:extLst>
            <c:ext xmlns:c16="http://schemas.microsoft.com/office/drawing/2014/chart" uri="{C3380CC4-5D6E-409C-BE32-E72D297353CC}">
              <c16:uniqueId val="{00000003-43C7-4B02-8F68-C76ACBB7F572}"/>
            </c:ext>
          </c:extLst>
        </c:ser>
        <c:ser>
          <c:idx val="4"/>
          <c:order val="4"/>
          <c:tx>
            <c:strRef>
              <c:f>'Temp&amp;VS'!$B$39</c:f>
              <c:strCache>
                <c:ptCount val="1"/>
                <c:pt idx="0">
                  <c:v>50.6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9.9086821119215879E-2</c:v>
                </c:pt>
                <c:pt idx="2">
                  <c:v>0.43470263433011053</c:v>
                </c:pt>
                <c:pt idx="3">
                  <c:v>0.61073801471823763</c:v>
                </c:pt>
                <c:pt idx="4">
                  <c:v>0.7029036754815865</c:v>
                </c:pt>
                <c:pt idx="5">
                  <c:v>0.7487407899940306</c:v>
                </c:pt>
                <c:pt idx="6">
                  <c:v>0.76979802362394678</c:v>
                </c:pt>
                <c:pt idx="7">
                  <c:v>0.77879687412903598</c:v>
                </c:pt>
                <c:pt idx="8">
                  <c:v>0.78247099320063263</c:v>
                </c:pt>
              </c:numCache>
            </c:numRef>
          </c:yVal>
          <c:smooth val="1"/>
          <c:extLst>
            <c:ext xmlns:c16="http://schemas.microsoft.com/office/drawing/2014/chart" uri="{C3380CC4-5D6E-409C-BE32-E72D297353CC}">
              <c16:uniqueId val="{00000004-43C7-4B02-8F68-C76ACBB7F572}"/>
            </c:ext>
          </c:extLst>
        </c:ser>
        <c:ser>
          <c:idx val="5"/>
          <c:order val="5"/>
          <c:tx>
            <c:strRef>
              <c:f>'Temp&amp;VS'!$B$48</c:f>
              <c:strCache>
                <c:ptCount val="1"/>
                <c:pt idx="0">
                  <c:v>70.6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2.8523936618046444E-2</c:v>
                </c:pt>
                <c:pt idx="2">
                  <c:v>0.1783627518213656</c:v>
                </c:pt>
                <c:pt idx="3">
                  <c:v>0.32255213195929122</c:v>
                </c:pt>
                <c:pt idx="4">
                  <c:v>0.43691737677545467</c:v>
                </c:pt>
                <c:pt idx="5">
                  <c:v>0.51031935739961376</c:v>
                </c:pt>
                <c:pt idx="6">
                  <c:v>0.54900864298433694</c:v>
                </c:pt>
                <c:pt idx="7">
                  <c:v>0.56665941863198321</c:v>
                </c:pt>
                <c:pt idx="8">
                  <c:v>0.57407297251821554</c:v>
                </c:pt>
              </c:numCache>
            </c:numRef>
          </c:yVal>
          <c:smooth val="1"/>
          <c:extLst>
            <c:ext xmlns:c16="http://schemas.microsoft.com/office/drawing/2014/chart" uri="{C3380CC4-5D6E-409C-BE32-E72D297353CC}">
              <c16:uniqueId val="{00000005-43C7-4B02-8F68-C76ACBB7F572}"/>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1.2919397441098072E-2</c:v>
                </c:pt>
                <c:pt idx="8">
                  <c:v>0.14424164402153863</c:v>
                </c:pt>
              </c:numCache>
            </c:numRef>
          </c:yVal>
          <c:smooth val="1"/>
          <c:extLst>
            <c:ext xmlns:c16="http://schemas.microsoft.com/office/drawing/2014/chart" uri="{C3380CC4-5D6E-409C-BE32-E72D297353CC}">
              <c16:uniqueId val="{00000000-7160-4897-BF42-4A17D1FFC5D2}"/>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1.5753379830048198</c:v>
                </c:pt>
                <c:pt idx="1">
                  <c:v>2.079781971109719</c:v>
                </c:pt>
                <c:pt idx="2">
                  <c:v>1.9111312563911291</c:v>
                </c:pt>
                <c:pt idx="3">
                  <c:v>1.6894512692028614</c:v>
                </c:pt>
                <c:pt idx="4">
                  <c:v>1.4944086545953059</c:v>
                </c:pt>
                <c:pt idx="5">
                  <c:v>1.3328208825936225</c:v>
                </c:pt>
                <c:pt idx="6">
                  <c:v>1.1997721565858324</c:v>
                </c:pt>
                <c:pt idx="7">
                  <c:v>1.0894003964949366</c:v>
                </c:pt>
                <c:pt idx="8">
                  <c:v>0.99682812374161855</c:v>
                </c:pt>
              </c:numCache>
            </c:numRef>
          </c:yVal>
          <c:smooth val="1"/>
          <c:extLst>
            <c:ext xmlns:c16="http://schemas.microsoft.com/office/drawing/2014/chart" uri="{C3380CC4-5D6E-409C-BE32-E72D297353CC}">
              <c16:uniqueId val="{00000001-7160-4897-BF42-4A17D1FFC5D2}"/>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3.3880763723789791</c:v>
                </c:pt>
                <c:pt idx="1">
                  <c:v>2.8166633692324505</c:v>
                </c:pt>
                <c:pt idx="2">
                  <c:v>2.3081397210884962</c:v>
                </c:pt>
                <c:pt idx="3">
                  <c:v>1.9371627828212592</c:v>
                </c:pt>
                <c:pt idx="4">
                  <c:v>1.6635727838635299</c:v>
                </c:pt>
                <c:pt idx="5">
                  <c:v>1.4556373295929128</c:v>
                </c:pt>
                <c:pt idx="6">
                  <c:v>1.2929740671343632</c:v>
                </c:pt>
                <c:pt idx="7">
                  <c:v>1.1625377479686247</c:v>
                </c:pt>
                <c:pt idx="8">
                  <c:v>1.0557460493998676</c:v>
                </c:pt>
              </c:numCache>
            </c:numRef>
          </c:yVal>
          <c:smooth val="1"/>
          <c:extLst>
            <c:ext xmlns:c16="http://schemas.microsoft.com/office/drawing/2014/chart" uri="{C3380CC4-5D6E-409C-BE32-E72D297353CC}">
              <c16:uniqueId val="{00000002-7160-4897-BF42-4A17D1FFC5D2}"/>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0.23125721419565548</c:v>
                </c:pt>
                <c:pt idx="8">
                  <c:v>2.8704087160286185</c:v>
                </c:pt>
              </c:numCache>
            </c:numRef>
          </c:yVal>
          <c:smooth val="1"/>
          <c:extLst>
            <c:ext xmlns:c16="http://schemas.microsoft.com/office/drawing/2014/chart" uri="{C3380CC4-5D6E-409C-BE32-E72D297353CC}">
              <c16:uniqueId val="{00000003-7160-4897-BF42-4A17D1FFC5D2}"/>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6.1438181337187974</c:v>
                </c:pt>
                <c:pt idx="1">
                  <c:v>12.270713629547343</c:v>
                </c:pt>
                <c:pt idx="2">
                  <c:v>15.09793692548992</c:v>
                </c:pt>
                <c:pt idx="3">
                  <c:v>16.725567565108328</c:v>
                </c:pt>
                <c:pt idx="4">
                  <c:v>17.783462989684139</c:v>
                </c:pt>
                <c:pt idx="5">
                  <c:v>18.526210268051354</c:v>
                </c:pt>
                <c:pt idx="6">
                  <c:v>19.076377289714735</c:v>
                </c:pt>
                <c:pt idx="7">
                  <c:v>19.500267097259364</c:v>
                </c:pt>
                <c:pt idx="8">
                  <c:v>19.836879662458209</c:v>
                </c:pt>
              </c:numCache>
            </c:numRef>
          </c:yVal>
          <c:smooth val="1"/>
          <c:extLst>
            <c:ext xmlns:c16="http://schemas.microsoft.com/office/drawing/2014/chart" uri="{C3380CC4-5D6E-409C-BE32-E72D297353CC}">
              <c16:uniqueId val="{00000004-7160-4897-BF42-4A17D1FFC5D2}"/>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13.213497852278019</c:v>
                </c:pt>
                <c:pt idx="1">
                  <c:v>16.618313878471458</c:v>
                </c:pt>
                <c:pt idx="2">
                  <c:v>18.234303796599121</c:v>
                </c:pt>
                <c:pt idx="3">
                  <c:v>19.177911549930467</c:v>
                </c:pt>
                <c:pt idx="4">
                  <c:v>19.796516127976005</c:v>
                </c:pt>
                <c:pt idx="5">
                  <c:v>20.233358881341488</c:v>
                </c:pt>
                <c:pt idx="6">
                  <c:v>20.558287667436375</c:v>
                </c:pt>
                <c:pt idx="7">
                  <c:v>20.809425688638381</c:v>
                </c:pt>
                <c:pt idx="8">
                  <c:v>21.009346383057363</c:v>
                </c:pt>
              </c:numCache>
            </c:numRef>
          </c:yVal>
          <c:smooth val="1"/>
          <c:extLst>
            <c:ext xmlns:c16="http://schemas.microsoft.com/office/drawing/2014/chart" uri="{C3380CC4-5D6E-409C-BE32-E72D297353CC}">
              <c16:uniqueId val="{00000005-7160-4897-BF42-4A17D1FFC5D2}"/>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50.599999999999994</c:v>
                </c:pt>
                <c:pt idx="1">
                  <c:v>50.599999999999994</c:v>
                </c:pt>
                <c:pt idx="2">
                  <c:v>50.599999999999994</c:v>
                </c:pt>
                <c:pt idx="3">
                  <c:v>50.599999999999994</c:v>
                </c:pt>
                <c:pt idx="4">
                  <c:v>50.599999999999994</c:v>
                </c:pt>
                <c:pt idx="5">
                  <c:v>50.599999999999994</c:v>
                </c:pt>
                <c:pt idx="6">
                  <c:v>50.599999999999994</c:v>
                </c:pt>
                <c:pt idx="7">
                  <c:v>50.137485571608686</c:v>
                </c:pt>
                <c:pt idx="8">
                  <c:v>44.85918256794276</c:v>
                </c:pt>
              </c:numCache>
            </c:numRef>
          </c:yVal>
          <c:smooth val="1"/>
          <c:extLst>
            <c:ext xmlns:c16="http://schemas.microsoft.com/office/drawing/2014/chart" uri="{C3380CC4-5D6E-409C-BE32-E72D297353CC}">
              <c16:uniqueId val="{00000000-AFA9-418C-A5C2-A26308A782B9}"/>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38.312363732562403</c:v>
                </c:pt>
                <c:pt idx="1">
                  <c:v>26.058572740905309</c:v>
                </c:pt>
                <c:pt idx="2">
                  <c:v>20.404126149020154</c:v>
                </c:pt>
                <c:pt idx="3">
                  <c:v>17.148864869783338</c:v>
                </c:pt>
                <c:pt idx="4">
                  <c:v>15.033074020631716</c:v>
                </c:pt>
                <c:pt idx="5">
                  <c:v>13.547579463897286</c:v>
                </c:pt>
                <c:pt idx="6">
                  <c:v>12.447245420570525</c:v>
                </c:pt>
                <c:pt idx="7">
                  <c:v>11.599465805481266</c:v>
                </c:pt>
                <c:pt idx="8">
                  <c:v>10.926240675083577</c:v>
                </c:pt>
              </c:numCache>
            </c:numRef>
          </c:yVal>
          <c:smooth val="1"/>
          <c:extLst>
            <c:ext xmlns:c16="http://schemas.microsoft.com/office/drawing/2014/chart" uri="{C3380CC4-5D6E-409C-BE32-E72D297353CC}">
              <c16:uniqueId val="{00000001-AFA9-418C-A5C2-A26308A782B9}"/>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24.173004295443956</c:v>
                </c:pt>
                <c:pt idx="1">
                  <c:v>17.363372243057078</c:v>
                </c:pt>
                <c:pt idx="2">
                  <c:v>14.131392406801751</c:v>
                </c:pt>
                <c:pt idx="3">
                  <c:v>12.24417690013906</c:v>
                </c:pt>
                <c:pt idx="4">
                  <c:v>11.006967744047984</c:v>
                </c:pt>
                <c:pt idx="5">
                  <c:v>10.133282237317019</c:v>
                </c:pt>
                <c:pt idx="6">
                  <c:v>9.4834246651272451</c:v>
                </c:pt>
                <c:pt idx="7">
                  <c:v>8.9811486227232322</c:v>
                </c:pt>
                <c:pt idx="8">
                  <c:v>8.5813072338852692</c:v>
                </c:pt>
              </c:numCache>
            </c:numRef>
          </c:yVal>
          <c:smooth val="1"/>
          <c:extLst>
            <c:ext xmlns:c16="http://schemas.microsoft.com/office/drawing/2014/chart" uri="{C3380CC4-5D6E-409C-BE32-E72D297353CC}">
              <c16:uniqueId val="{00000002-AFA9-418C-A5C2-A26308A782B9}"/>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9.1406013516068928E-3</c:v>
                </c:pt>
                <c:pt idx="8">
                  <c:v>0.11345488996160544</c:v>
                </c:pt>
              </c:numCache>
            </c:numRef>
          </c:yVal>
          <c:smooth val="1"/>
          <c:extLst>
            <c:ext xmlns:c16="http://schemas.microsoft.com/office/drawing/2014/chart" uri="{C3380CC4-5D6E-409C-BE32-E72D297353CC}">
              <c16:uniqueId val="{00000003-AFA9-418C-A5C2-A26308A782B9}"/>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0.24283866141181012</c:v>
                </c:pt>
                <c:pt idx="1">
                  <c:v>0.48500844385562625</c:v>
                </c:pt>
                <c:pt idx="2">
                  <c:v>0.59675640021699294</c:v>
                </c:pt>
                <c:pt idx="3">
                  <c:v>0.66108962707938068</c:v>
                </c:pt>
                <c:pt idx="4">
                  <c:v>0.70290367548158661</c:v>
                </c:pt>
                <c:pt idx="5">
                  <c:v>0.73226127541704966</c:v>
                </c:pt>
                <c:pt idx="6">
                  <c:v>0.75400700749860616</c:v>
                </c:pt>
                <c:pt idx="7">
                  <c:v>0.77076154534621999</c:v>
                </c:pt>
                <c:pt idx="8">
                  <c:v>0.7840663898204826</c:v>
                </c:pt>
              </c:numCache>
            </c:numRef>
          </c:yVal>
          <c:smooth val="1"/>
          <c:extLst>
            <c:ext xmlns:c16="http://schemas.microsoft.com/office/drawing/2014/chart" uri="{C3380CC4-5D6E-409C-BE32-E72D297353CC}">
              <c16:uniqueId val="{00000004-AFA9-418C-A5C2-A26308A782B9}"/>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0.52227264238253046</c:v>
                </c:pt>
                <c:pt idx="1">
                  <c:v>0.6568503509277257</c:v>
                </c:pt>
                <c:pt idx="2">
                  <c:v>0.72072347022130923</c:v>
                </c:pt>
                <c:pt idx="3">
                  <c:v>0.75802021936484065</c:v>
                </c:pt>
                <c:pt idx="4">
                  <c:v>0.78247099320063274</c:v>
                </c:pt>
                <c:pt idx="5">
                  <c:v>0.79973750519136322</c:v>
                </c:pt>
                <c:pt idx="6">
                  <c:v>0.81258054021487658</c:v>
                </c:pt>
                <c:pt idx="7">
                  <c:v>0.82250694421495585</c:v>
                </c:pt>
                <c:pt idx="8">
                  <c:v>0.83040894794693143</c:v>
                </c:pt>
              </c:numCache>
            </c:numRef>
          </c:yVal>
          <c:smooth val="1"/>
          <c:extLst>
            <c:ext xmlns:c16="http://schemas.microsoft.com/office/drawing/2014/chart" uri="{C3380CC4-5D6E-409C-BE32-E72D297353CC}">
              <c16:uniqueId val="{00000005-AFA9-418C-A5C2-A26308A782B9}"/>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5.5585982295066214E-2</c:v>
                </c:pt>
                <c:pt idx="5">
                  <c:v>3.8049836703429006E-2</c:v>
                </c:pt>
                <c:pt idx="6">
                  <c:v>4.1275977600961071E-2</c:v>
                </c:pt>
                <c:pt idx="7">
                  <c:v>5.6485948687271768E-2</c:v>
                </c:pt>
                <c:pt idx="8">
                  <c:v>0.10518488863213796</c:v>
                </c:pt>
              </c:numCache>
            </c:numRef>
          </c:yVal>
          <c:smooth val="0"/>
          <c:extLst>
            <c:ext xmlns:c16="http://schemas.microsoft.com/office/drawing/2014/chart" uri="{C3380CC4-5D6E-409C-BE32-E72D297353CC}">
              <c16:uniqueId val="{00000000-528D-4693-9FB7-E13B8D885DD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4.5568746004718524E-2</c:v>
                </c:pt>
                <c:pt idx="2">
                  <c:v>3.4855486965766992E-2</c:v>
                </c:pt>
                <c:pt idx="3">
                  <c:v>3.5840100007788582E-2</c:v>
                </c:pt>
                <c:pt idx="4">
                  <c:v>4.2776157737243539E-2</c:v>
                </c:pt>
                <c:pt idx="5">
                  <c:v>5.8936350126555286E-2</c:v>
                </c:pt>
                <c:pt idx="6">
                  <c:v>0.10306967368597637</c:v>
                </c:pt>
                <c:pt idx="7">
                  <c:v>0.46149072812267072</c:v>
                </c:pt>
                <c:pt idx="8">
                  <c:v>0</c:v>
                </c:pt>
              </c:numCache>
            </c:numRef>
          </c:yVal>
          <c:smooth val="0"/>
          <c:extLst>
            <c:ext xmlns:c16="http://schemas.microsoft.com/office/drawing/2014/chart" uri="{C3380CC4-5D6E-409C-BE32-E72D297353CC}">
              <c16:uniqueId val="{00000001-528D-4693-9FB7-E13B8D885DD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3.6898352814939278E-2</c:v>
                </c:pt>
                <c:pt idx="1">
                  <c:v>3.4353886624308411E-2</c:v>
                </c:pt>
                <c:pt idx="2">
                  <c:v>3.7897288384296311E-2</c:v>
                </c:pt>
                <c:pt idx="3">
                  <c:v>4.6820922163309672E-2</c:v>
                </c:pt>
                <c:pt idx="4">
                  <c:v>6.5927312425281964E-2</c:v>
                </c:pt>
                <c:pt idx="5">
                  <c:v>0.11864201040696626</c:v>
                </c:pt>
                <c:pt idx="6">
                  <c:v>0.6673109754859271</c:v>
                </c:pt>
                <c:pt idx="7">
                  <c:v>0</c:v>
                </c:pt>
                <c:pt idx="8">
                  <c:v>0</c:v>
                </c:pt>
              </c:numCache>
            </c:numRef>
          </c:yVal>
          <c:smooth val="0"/>
          <c:extLst>
            <c:ext xmlns:c16="http://schemas.microsoft.com/office/drawing/2014/chart" uri="{C3380CC4-5D6E-409C-BE32-E72D297353CC}">
              <c16:uniqueId val="{00000002-528D-4693-9FB7-E13B8D885DD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0.13953853688707524</c:v>
                </c:pt>
                <c:pt idx="5">
                  <c:v>0.20823993759825737</c:v>
                </c:pt>
                <c:pt idx="6">
                  <c:v>0.19601242831421367</c:v>
                </c:pt>
                <c:pt idx="7">
                  <c:v>0.14619057964639887</c:v>
                </c:pt>
                <c:pt idx="8">
                  <c:v>8.0095369875748779E-2</c:v>
                </c:pt>
              </c:numCache>
            </c:numRef>
          </c:yVal>
          <c:smooth val="0"/>
          <c:extLst>
            <c:ext xmlns:c16="http://schemas.microsoft.com/office/drawing/2014/chart" uri="{C3380CC4-5D6E-409C-BE32-E72D297353CC}">
              <c16:uniqueId val="{00000003-528D-4693-9FB7-E13B8D885DD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0.4133225590842653</c:v>
                </c:pt>
                <c:pt idx="2">
                  <c:v>0.55044824013210303</c:v>
                </c:pt>
                <c:pt idx="3">
                  <c:v>0.54513498012926342</c:v>
                </c:pt>
                <c:pt idx="4">
                  <c:v>0.46496095030486095</c:v>
                </c:pt>
                <c:pt idx="5">
                  <c:v>0.34343480135364074</c:v>
                </c:pt>
                <c:pt idx="6">
                  <c:v>0.19979052720477047</c:v>
                </c:pt>
                <c:pt idx="7">
                  <c:v>4.5383133212809512E-2</c:v>
                </c:pt>
                <c:pt idx="8">
                  <c:v>-0.11377703086098401</c:v>
                </c:pt>
              </c:numCache>
            </c:numRef>
          </c:yVal>
          <c:smooth val="0"/>
          <c:extLst>
            <c:ext xmlns:c16="http://schemas.microsoft.com/office/drawing/2014/chart" uri="{C3380CC4-5D6E-409C-BE32-E72D297353CC}">
              <c16:uniqueId val="{00000004-528D-4693-9FB7-E13B8D885DD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0.78783667692032677</c:v>
                </c:pt>
                <c:pt idx="1">
                  <c:v>0.86060611090864736</c:v>
                </c:pt>
                <c:pt idx="2">
                  <c:v>0.79320856823059871</c:v>
                </c:pt>
                <c:pt idx="3">
                  <c:v>0.65260873866045555</c:v>
                </c:pt>
                <c:pt idx="4">
                  <c:v>0.47098889535191318</c:v>
                </c:pt>
                <c:pt idx="5">
                  <c:v>0.26589503196448561</c:v>
                </c:pt>
                <c:pt idx="6">
                  <c:v>4.8016009661681291E-2</c:v>
                </c:pt>
                <c:pt idx="7">
                  <c:v>-0.17613730626970392</c:v>
                </c:pt>
                <c:pt idx="8">
                  <c:v>-0.40307135530379801</c:v>
                </c:pt>
              </c:numCache>
            </c:numRef>
          </c:yVal>
          <c:smooth val="0"/>
          <c:extLst>
            <c:ext xmlns:c16="http://schemas.microsoft.com/office/drawing/2014/chart" uri="{C3380CC4-5D6E-409C-BE32-E72D297353CC}">
              <c16:uniqueId val="{00000005-528D-4693-9FB7-E13B8D885DD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51.742040266499451</c:v>
                </c:pt>
                <c:pt idx="1">
                  <c:v>52.961935819488637</c:v>
                </c:pt>
                <c:pt idx="2">
                  <c:v>54.181831372477816</c:v>
                </c:pt>
                <c:pt idx="3">
                  <c:v>55.401726925466996</c:v>
                </c:pt>
                <c:pt idx="4">
                  <c:v>56.621622478456175</c:v>
                </c:pt>
                <c:pt idx="5">
                  <c:v>57.841518031445354</c:v>
                </c:pt>
                <c:pt idx="6">
                  <c:v>59.06141358443454</c:v>
                </c:pt>
                <c:pt idx="7">
                  <c:v>60.281309137423719</c:v>
                </c:pt>
                <c:pt idx="8">
                  <c:v>61.501204690412898</c:v>
                </c:pt>
              </c:numCache>
            </c:numRef>
          </c:yVal>
          <c:smooth val="0"/>
          <c:extLst>
            <c:ext xmlns:c16="http://schemas.microsoft.com/office/drawing/2014/chart" uri="{C3380CC4-5D6E-409C-BE32-E72D297353CC}">
              <c16:uniqueId val="{00000000-F18E-4318-B02F-4DE16B2049C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134.92619175624137</c:v>
                </c:pt>
                <c:pt idx="1">
                  <c:v>137.4925122043974</c:v>
                </c:pt>
                <c:pt idx="2">
                  <c:v>140.05883265255346</c:v>
                </c:pt>
                <c:pt idx="3">
                  <c:v>142.6251531007095</c:v>
                </c:pt>
                <c:pt idx="4">
                  <c:v>145.19147354886553</c:v>
                </c:pt>
                <c:pt idx="5">
                  <c:v>147.75779399702157</c:v>
                </c:pt>
                <c:pt idx="6">
                  <c:v>150.3241144451776</c:v>
                </c:pt>
                <c:pt idx="7">
                  <c:v>152.89043489333363</c:v>
                </c:pt>
                <c:pt idx="8">
                  <c:v>155.45675534148967</c:v>
                </c:pt>
              </c:numCache>
            </c:numRef>
          </c:yVal>
          <c:smooth val="0"/>
          <c:extLst>
            <c:ext xmlns:c16="http://schemas.microsoft.com/office/drawing/2014/chart" uri="{C3380CC4-5D6E-409C-BE32-E72D297353CC}">
              <c16:uniqueId val="{00000001-F18E-4318-B02F-4DE16B2049C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212.21009235855547</c:v>
                </c:pt>
                <c:pt idx="1">
                  <c:v>215.82570276510143</c:v>
                </c:pt>
                <c:pt idx="2">
                  <c:v>219.44131317164738</c:v>
                </c:pt>
                <c:pt idx="3">
                  <c:v>223.05692357819333</c:v>
                </c:pt>
                <c:pt idx="4">
                  <c:v>226.67253398473929</c:v>
                </c:pt>
                <c:pt idx="5">
                  <c:v>230.28814439128524</c:v>
                </c:pt>
                <c:pt idx="6">
                  <c:v>233.9037547978312</c:v>
                </c:pt>
                <c:pt idx="7">
                  <c:v>237.51936520437715</c:v>
                </c:pt>
                <c:pt idx="8">
                  <c:v>241.13497561092311</c:v>
                </c:pt>
              </c:numCache>
            </c:numRef>
          </c:yVal>
          <c:smooth val="0"/>
          <c:extLst>
            <c:ext xmlns:c16="http://schemas.microsoft.com/office/drawing/2014/chart" uri="{C3380CC4-5D6E-409C-BE32-E72D297353CC}">
              <c16:uniqueId val="{00000002-F18E-4318-B02F-4DE16B2049C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0.2167539037575992</c:v>
                </c:pt>
                <c:pt idx="5">
                  <c:v>0.36267067133930531</c:v>
                </c:pt>
                <c:pt idx="6">
                  <c:v>0.42765852892578565</c:v>
                </c:pt>
                <c:pt idx="7">
                  <c:v>0.45505204712849473</c:v>
                </c:pt>
                <c:pt idx="8">
                  <c:v>0.46617220422836858</c:v>
                </c:pt>
              </c:numCache>
            </c:numRef>
          </c:yVal>
          <c:smooth val="0"/>
          <c:extLst>
            <c:ext xmlns:c16="http://schemas.microsoft.com/office/drawing/2014/chart" uri="{C3380CC4-5D6E-409C-BE32-E72D297353CC}">
              <c16:uniqueId val="{00000003-F18E-4318-B02F-4DE16B2049C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8.8443311141874259E-2</c:v>
                </c:pt>
                <c:pt idx="2">
                  <c:v>0.38800861616090754</c:v>
                </c:pt>
                <c:pt idx="3">
                  <c:v>0.54513498012926342</c:v>
                </c:pt>
                <c:pt idx="4">
                  <c:v>0.62740057427605644</c:v>
                </c:pt>
                <c:pt idx="5">
                  <c:v>0.66831404929603178</c:v>
                </c:pt>
                <c:pt idx="6">
                  <c:v>0.687109399118357</c:v>
                </c:pt>
                <c:pt idx="7">
                  <c:v>0.69514162909759158</c:v>
                </c:pt>
                <c:pt idx="8">
                  <c:v>0.69842108899499344</c:v>
                </c:pt>
              </c:numCache>
            </c:numRef>
          </c:yVal>
          <c:smooth val="0"/>
          <c:extLst>
            <c:ext xmlns:c16="http://schemas.microsoft.com/office/drawing/2014/chart" uri="{C3380CC4-5D6E-409C-BE32-E72D297353CC}">
              <c16:uniqueId val="{00000004-F18E-4318-B02F-4DE16B2049C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0.10126801950148966</c:v>
                </c:pt>
                <c:pt idx="1">
                  <c:v>0.40289367262942266</c:v>
                </c:pt>
                <c:pt idx="2">
                  <c:v>0.5643523490909863</c:v>
                </c:pt>
                <c:pt idx="3">
                  <c:v>0.65260873866045555</c:v>
                </c:pt>
                <c:pt idx="4">
                  <c:v>0.69984511449152553</c:v>
                </c:pt>
                <c:pt idx="5">
                  <c:v>0.7236074702437103</c:v>
                </c:pt>
                <c:pt idx="6">
                  <c:v>0.73458466708051839</c:v>
                </c:pt>
                <c:pt idx="7">
                  <c:v>0.73928757028874548</c:v>
                </c:pt>
                <c:pt idx="8">
                  <c:v>0.74120974039426379</c:v>
                </c:pt>
              </c:numCache>
            </c:numRef>
          </c:yVal>
          <c:smooth val="0"/>
          <c:extLst>
            <c:ext xmlns:c16="http://schemas.microsoft.com/office/drawing/2014/chart" uri="{C3380CC4-5D6E-409C-BE32-E72D297353CC}">
              <c16:uniqueId val="{00000005-F18E-4318-B02F-4DE16B2049C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wMode val="edge"/>
          <c:hMode val="edge"/>
          <c:x val="0.90834191555097832"/>
          <c:y val="0.19689155435881395"/>
          <c:w val="0.98249227600411937"/>
          <c:h val="0.39551022443438089"/>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trlProps/ctrlProp1.xml><?xml version="1.0" encoding="utf-8"?>
<formControlPr xmlns="http://schemas.microsoft.com/office/spreadsheetml/2009/9/main" objectType="Drop" dropLines="15" dropStyle="combo" dx="16" fmlaLink="$T$15" fmlaRange="$T$17:$T$31" noThreeD="1" sel="4" val="0"/>
</file>

<file path=xl/ctrlProps/ctrlProp2.xml><?xml version="1.0" encoding="utf-8"?>
<formControlPr xmlns="http://schemas.microsoft.com/office/spreadsheetml/2009/9/main" objectType="Drop" dropStyle="combo" dx="16" fmlaLink="'Temp&amp;RT'!D3" fmlaRange="'Temp&amp;RT'!C6:C19" noThreeD="1" sel="8" val="0"/>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6"/>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161925</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40</xdr:row>
          <xdr:rowOff>171450</xdr:rowOff>
        </xdr:from>
        <xdr:to>
          <xdr:col>1</xdr:col>
          <xdr:colOff>933450</xdr:colOff>
          <xdr:row>42</xdr:row>
          <xdr:rowOff>0</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1043048</xdr:colOff>
          <xdr:row>39</xdr:row>
          <xdr:rowOff>112250</xdr:rowOff>
        </xdr:from>
        <xdr:to>
          <xdr:col>2</xdr:col>
          <xdr:colOff>1422842</xdr:colOff>
          <xdr:row>40</xdr:row>
          <xdr:rowOff>107910</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0.19819</cdr:x>
      <cdr:y>0.85912</cdr:y>
    </cdr:from>
    <cdr:to>
      <cdr:x>0.79813</cdr:x>
      <cdr:y>0.89954</cdr:y>
    </cdr:to>
    <cdr:sp macro="" textlink="">
      <cdr:nvSpPr>
        <cdr:cNvPr id="118785"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4.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5.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kg VS added</a:t>
          </a:r>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8.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0.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0.48747</cdr:x>
      <cdr:y>0.09957</cdr:y>
    </cdr:from>
    <cdr:to>
      <cdr:x>0.53734</cdr:x>
      <cdr:y>0.23103</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652411" y="273071"/>
          <a:ext cx="30451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Arial"/>
              <a:cs typeface="Arial"/>
            </a:rPr>
            <a:pPr algn="l" rtl="0">
              <a:defRPr sz="1000"/>
            </a:pPr>
            <a:t>50.6</a:t>
          </a:fld>
          <a:endParaRPr lang="en-AU" sz="800" b="0" i="0" u="none" strike="noStrike" baseline="0">
            <a:solidFill>
              <a:srgbClr val="000000"/>
            </a:solidFill>
            <a:latin typeface="Arial"/>
            <a:cs typeface="Arial"/>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0.32687</cdr:x>
      <cdr:y>0.12015</cdr:y>
    </cdr:from>
    <cdr:to>
      <cdr:x>0.59026</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554274" y="322727"/>
          <a:ext cx="1486471"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Arial"/>
              <a:cs typeface="Arial"/>
            </a:rPr>
            <a:pPr algn="l" rtl="0">
              <a:defRPr sz="1000"/>
            </a:pPr>
            <a:t>50.6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0.84402</cdr:x>
      <cdr:y>0.12015</cdr:y>
    </cdr:from>
    <cdr:to>
      <cdr:x>0.98622</cdr:x>
      <cdr:y>0.29171</cdr:y>
    </cdr:to>
    <cdr:sp macro="" textlink="">
      <cdr:nvSpPr>
        <cdr:cNvPr id="71684" name="Text 1"/>
        <cdr:cNvSpPr txBox="1">
          <a:spLocks xmlns:a="http://schemas.openxmlformats.org/drawingml/2006/main" noChangeArrowheads="1"/>
        </cdr:cNvSpPr>
      </cdr:nvSpPr>
      <cdr:spPr bwMode="auto">
        <a:xfrm xmlns:a="http://schemas.openxmlformats.org/drawingml/2006/main">
          <a:off x="4260040" y="322727"/>
          <a:ext cx="629079"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3.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6.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9.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50.6</a:t>
          </a:fld>
          <a:endParaRPr lang="en-AU" sz="800" b="0" i="0" u="none" strike="noStrike" baseline="0">
            <a:solidFill>
              <a:srgbClr val="000000"/>
            </a:solidFill>
            <a:latin typeface="Arial"/>
            <a:cs typeface="Arial"/>
          </a:endParaRPr>
        </a:p>
      </cdr:txBody>
    </cdr:sp>
  </cdr:relSizeAnchor>
</c:userShapes>
</file>

<file path=xl/drawings/drawing20.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50.6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1.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50.6</a:t>
          </a:fld>
          <a:endParaRPr lang="en-AU" sz="1000" b="0" i="0" u="none" strike="noStrike" baseline="0">
            <a:solidFill>
              <a:srgbClr val="000000"/>
            </a:solidFill>
            <a:latin typeface="Arial"/>
            <a:cs typeface="Arial"/>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50.6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file:///C:\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8.xml"/><Relationship Id="rId1" Type="http://schemas.openxmlformats.org/officeDocument/2006/relationships/printerSettings" Target="../printerSettings/printerSettings7.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A16" sqref="A16"/>
    </sheetView>
  </sheetViews>
  <sheetFormatPr defaultRowHeight="12.75" x14ac:dyDescent="0.2"/>
  <cols>
    <col min="1" max="1" width="128.140625" customWidth="1"/>
  </cols>
  <sheetData>
    <row r="1" spans="1:1" ht="30" x14ac:dyDescent="0.4">
      <c r="A1" s="19" t="s">
        <v>0</v>
      </c>
    </row>
    <row r="2" spans="1:1" x14ac:dyDescent="0.2">
      <c r="A2" s="212" t="s">
        <v>279</v>
      </c>
    </row>
    <row r="3" spans="1:1" x14ac:dyDescent="0.2">
      <c r="A3" s="18"/>
    </row>
    <row r="4" spans="1:1" ht="15" x14ac:dyDescent="0.2">
      <c r="A4" s="51" t="s">
        <v>208</v>
      </c>
    </row>
    <row r="5" spans="1:1" ht="15" x14ac:dyDescent="0.2">
      <c r="A5" s="100" t="s">
        <v>209</v>
      </c>
    </row>
    <row r="6" spans="1:1" ht="15" x14ac:dyDescent="0.2">
      <c r="A6" s="101" t="s">
        <v>229</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233</v>
      </c>
    </row>
    <row r="15" spans="1:1" ht="25.5" x14ac:dyDescent="0.2">
      <c r="A15" s="82" t="s">
        <v>210</v>
      </c>
    </row>
    <row r="16" spans="1:1" ht="15" x14ac:dyDescent="0.2">
      <c r="A16" s="39"/>
    </row>
    <row r="17" spans="1:1" ht="25.5" x14ac:dyDescent="0.2">
      <c r="A17" s="84" t="s">
        <v>219</v>
      </c>
    </row>
    <row r="18" spans="1:1" ht="15" x14ac:dyDescent="0.2">
      <c r="A18" s="39"/>
    </row>
    <row r="19" spans="1:1" ht="25.5" x14ac:dyDescent="0.2">
      <c r="A19" s="85" t="s">
        <v>212</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43"/>
  <sheetViews>
    <sheetView tabSelected="1" zoomScale="79" zoomScaleNormal="79" workbookViewId="0">
      <pane ySplit="7" topLeftCell="A18" activePane="bottomLeft" state="frozen"/>
      <selection activeCell="B9" sqref="B9"/>
      <selection pane="bottomLeft" activeCell="N35" sqref="N35"/>
    </sheetView>
  </sheetViews>
  <sheetFormatPr defaultRowHeight="12.75" x14ac:dyDescent="0.2"/>
  <cols>
    <col min="1" max="1" width="22.7109375" customWidth="1"/>
    <col min="2" max="2" width="15.7109375" style="65" bestFit="1" customWidth="1"/>
    <col min="3" max="3" width="25.7109375" customWidth="1"/>
    <col min="4" max="4" width="13.140625" customWidth="1"/>
    <col min="5" max="5" width="5.140625" customWidth="1"/>
    <col min="8" max="17" width="6.7109375" customWidth="1"/>
    <col min="20" max="20" width="18" customWidth="1"/>
  </cols>
  <sheetData>
    <row r="1" spans="1:22" ht="13.5" thickBot="1" x14ac:dyDescent="0.25">
      <c r="A1" s="14" t="s">
        <v>114</v>
      </c>
      <c r="B1" s="50"/>
      <c r="C1" s="212" t="s">
        <v>279</v>
      </c>
      <c r="E1" s="246" t="s">
        <v>224</v>
      </c>
      <c r="F1" s="247"/>
      <c r="G1" s="248"/>
    </row>
    <row r="3" spans="1:22" ht="13.5" thickBot="1" x14ac:dyDescent="0.25">
      <c r="A3" s="59" t="s">
        <v>202</v>
      </c>
      <c r="B3" s="95"/>
      <c r="C3" s="213" t="s">
        <v>115</v>
      </c>
      <c r="O3" s="17"/>
      <c r="P3" s="17"/>
    </row>
    <row r="4" spans="1:22" ht="13.5" thickBot="1" x14ac:dyDescent="0.25">
      <c r="A4" t="s">
        <v>116</v>
      </c>
      <c r="B4" s="61" t="str">
        <f>VLOOKUP(T15,$E$17:$N$32,2)</f>
        <v>Pig</v>
      </c>
      <c r="C4" s="165" t="s">
        <v>242</v>
      </c>
      <c r="E4" s="159" t="s">
        <v>154</v>
      </c>
      <c r="F4" s="159"/>
      <c r="G4" s="159"/>
    </row>
    <row r="5" spans="1:22" x14ac:dyDescent="0.2">
      <c r="A5" t="s">
        <v>117</v>
      </c>
      <c r="B5" s="90">
        <v>3</v>
      </c>
      <c r="E5" s="163" t="s">
        <v>157</v>
      </c>
      <c r="F5" s="163"/>
      <c r="G5" s="163"/>
    </row>
    <row r="6" spans="1:22" x14ac:dyDescent="0.2">
      <c r="A6" t="s">
        <v>118</v>
      </c>
      <c r="B6" s="99">
        <f>VLOOKUP($T$15,$E$17:$N$32,3)</f>
        <v>70</v>
      </c>
      <c r="C6" t="s">
        <v>119</v>
      </c>
    </row>
    <row r="7" spans="1:22" x14ac:dyDescent="0.2">
      <c r="A7" t="s">
        <v>120</v>
      </c>
      <c r="B7" s="61">
        <f>B5*B6</f>
        <v>210</v>
      </c>
      <c r="C7" t="s">
        <v>119</v>
      </c>
    </row>
    <row r="8" spans="1:22" x14ac:dyDescent="0.2">
      <c r="B8" s="61"/>
    </row>
    <row r="9" spans="1:22" x14ac:dyDescent="0.2">
      <c r="A9" s="59" t="s">
        <v>121</v>
      </c>
      <c r="B9" s="61"/>
    </row>
    <row r="10" spans="1:22" x14ac:dyDescent="0.2">
      <c r="A10" t="s">
        <v>122</v>
      </c>
      <c r="B10" s="61">
        <f>VLOOKUP(T15,$E$17:$N$32,4)</f>
        <v>84</v>
      </c>
      <c r="C10" t="s">
        <v>123</v>
      </c>
    </row>
    <row r="11" spans="1:22" x14ac:dyDescent="0.2">
      <c r="A11" t="s">
        <v>124</v>
      </c>
      <c r="B11" s="61">
        <f>VLOOKUP(T15,$E$17:$N$32,5)</f>
        <v>11</v>
      </c>
      <c r="C11" t="s">
        <v>123</v>
      </c>
    </row>
    <row r="12" spans="1:22" x14ac:dyDescent="0.2">
      <c r="A12" t="s">
        <v>125</v>
      </c>
      <c r="B12" s="61">
        <f>VLOOKUP(T15,$E$17:$N$32,6)</f>
        <v>8.5</v>
      </c>
      <c r="C12" t="s">
        <v>123</v>
      </c>
    </row>
    <row r="13" spans="1:22" ht="13.5" thickBot="1" x14ac:dyDescent="0.25">
      <c r="B13" s="61"/>
    </row>
    <row r="14" spans="1:22" ht="13.5" thickBot="1" x14ac:dyDescent="0.25">
      <c r="A14" s="59" t="s">
        <v>126</v>
      </c>
      <c r="B14" s="61"/>
      <c r="C14" s="165" t="s">
        <v>211</v>
      </c>
      <c r="H14" s="253" t="s">
        <v>263</v>
      </c>
      <c r="I14" s="254"/>
      <c r="J14" s="254"/>
      <c r="K14" s="254"/>
      <c r="L14" s="254"/>
      <c r="M14" s="255"/>
    </row>
    <row r="15" spans="1:22" s="44" customFormat="1" ht="13.5" thickBot="1" x14ac:dyDescent="0.25">
      <c r="A15" s="44" t="s">
        <v>225</v>
      </c>
      <c r="B15" s="141">
        <f>B$7*B10/1000</f>
        <v>17.64</v>
      </c>
      <c r="C15" s="44" t="s">
        <v>127</v>
      </c>
      <c r="E15" s="142"/>
      <c r="F15" s="143"/>
      <c r="G15" s="143"/>
      <c r="H15" s="250" t="s">
        <v>128</v>
      </c>
      <c r="I15" s="251"/>
      <c r="J15" s="251"/>
      <c r="K15" s="251"/>
      <c r="L15" s="251"/>
      <c r="M15" s="252"/>
      <c r="T15" s="55">
        <v>4</v>
      </c>
      <c r="U15" s="45">
        <f>VLOOKUP(T15,S17:U31,3)</f>
        <v>0.45</v>
      </c>
      <c r="V15" s="46"/>
    </row>
    <row r="16" spans="1:22" s="44" customFormat="1" ht="13.5" thickBot="1" x14ac:dyDescent="0.25">
      <c r="A16" s="44" t="s">
        <v>226</v>
      </c>
      <c r="B16" s="141">
        <f>B$7*B11/1000</f>
        <v>2.31</v>
      </c>
      <c r="C16" s="44" t="s">
        <v>127</v>
      </c>
      <c r="E16" s="186" t="s">
        <v>129</v>
      </c>
      <c r="F16" s="144" t="s">
        <v>116</v>
      </c>
      <c r="G16" s="228" t="s">
        <v>271</v>
      </c>
      <c r="H16" s="145" t="s">
        <v>122</v>
      </c>
      <c r="I16" s="147" t="s">
        <v>124</v>
      </c>
      <c r="J16" s="147" t="s">
        <v>125</v>
      </c>
      <c r="K16" s="148" t="s">
        <v>130</v>
      </c>
      <c r="L16" s="147" t="s">
        <v>131</v>
      </c>
      <c r="M16" s="199" t="s">
        <v>27</v>
      </c>
      <c r="N16" s="229" t="s">
        <v>218</v>
      </c>
      <c r="O16" s="146" t="s">
        <v>132</v>
      </c>
      <c r="P16" s="199" t="s">
        <v>133</v>
      </c>
      <c r="Q16" s="186" t="s">
        <v>257</v>
      </c>
      <c r="T16" s="149" t="s">
        <v>231</v>
      </c>
      <c r="U16" s="149" t="s">
        <v>232</v>
      </c>
      <c r="V16" s="149" t="s">
        <v>202</v>
      </c>
    </row>
    <row r="17" spans="1:22" s="44" customFormat="1" x14ac:dyDescent="0.2">
      <c r="A17" s="44" t="s">
        <v>227</v>
      </c>
      <c r="B17" s="141">
        <f>B$7*B12/1000</f>
        <v>1.7849999999999999</v>
      </c>
      <c r="C17" s="44" t="s">
        <v>127</v>
      </c>
      <c r="E17" s="196">
        <v>1</v>
      </c>
      <c r="F17" s="150" t="s">
        <v>3</v>
      </c>
      <c r="G17" s="151">
        <v>500</v>
      </c>
      <c r="H17" s="194">
        <v>86</v>
      </c>
      <c r="I17" s="151">
        <v>12</v>
      </c>
      <c r="J17" s="151">
        <v>10</v>
      </c>
      <c r="K17" s="151">
        <v>0.45</v>
      </c>
      <c r="L17" s="151">
        <v>9.4E-2</v>
      </c>
      <c r="M17" s="200">
        <v>0.28999999999999998</v>
      </c>
      <c r="N17" s="202">
        <v>35</v>
      </c>
      <c r="O17" s="206">
        <f t="shared" ref="O17:P22" si="0">I17/H17</f>
        <v>0.13953488372093023</v>
      </c>
      <c r="P17" s="207">
        <f t="shared" si="0"/>
        <v>0.83333333333333337</v>
      </c>
      <c r="Q17" s="185">
        <v>1.2</v>
      </c>
      <c r="S17" s="44">
        <v>1</v>
      </c>
      <c r="T17" s="44" t="s">
        <v>3</v>
      </c>
      <c r="U17" s="45">
        <v>0.2</v>
      </c>
      <c r="V17" s="152" t="s">
        <v>2</v>
      </c>
    </row>
    <row r="18" spans="1:22" s="44" customFormat="1" x14ac:dyDescent="0.2">
      <c r="A18" s="44" t="s">
        <v>134</v>
      </c>
      <c r="B18" s="141">
        <f>B$7*VLOOKUP(T15,$E$17:$N$32,7)/1000</f>
        <v>0.10920000000000001</v>
      </c>
      <c r="C18" s="44" t="s">
        <v>127</v>
      </c>
      <c r="E18" s="197">
        <v>2</v>
      </c>
      <c r="F18" s="153" t="s">
        <v>1</v>
      </c>
      <c r="G18" s="154">
        <v>500</v>
      </c>
      <c r="H18" s="195">
        <v>58</v>
      </c>
      <c r="I18" s="154">
        <v>8.5</v>
      </c>
      <c r="J18" s="154">
        <v>7.2</v>
      </c>
      <c r="K18" s="154">
        <v>0.34</v>
      </c>
      <c r="L18" s="154">
        <v>9.1999999999999998E-2</v>
      </c>
      <c r="M18" s="201">
        <v>0.21</v>
      </c>
      <c r="N18" s="203">
        <v>65</v>
      </c>
      <c r="O18" s="208">
        <f t="shared" si="0"/>
        <v>0.14655172413793102</v>
      </c>
      <c r="P18" s="209">
        <f t="shared" si="0"/>
        <v>0.84705882352941175</v>
      </c>
      <c r="Q18" s="184">
        <v>1.2</v>
      </c>
      <c r="S18" s="44">
        <v>2</v>
      </c>
      <c r="T18" s="47" t="s">
        <v>1</v>
      </c>
      <c r="U18" s="48">
        <v>0.35</v>
      </c>
      <c r="V18" s="152" t="s">
        <v>2</v>
      </c>
    </row>
    <row r="19" spans="1:22" s="44" customFormat="1" x14ac:dyDescent="0.2">
      <c r="A19" s="44" t="s">
        <v>135</v>
      </c>
      <c r="B19" s="141">
        <f>B$7*VLOOKUP(T15,$E$17:$N$32,8)/1000</f>
        <v>3.78E-2</v>
      </c>
      <c r="C19" s="44" t="s">
        <v>127</v>
      </c>
      <c r="E19" s="197">
        <v>3</v>
      </c>
      <c r="F19" s="153" t="s">
        <v>136</v>
      </c>
      <c r="G19" s="154">
        <v>40</v>
      </c>
      <c r="H19" s="195">
        <v>62</v>
      </c>
      <c r="I19" s="154">
        <v>5.2</v>
      </c>
      <c r="J19" s="154">
        <v>2.2999999999999998</v>
      </c>
      <c r="K19" s="154">
        <v>0.27</v>
      </c>
      <c r="L19" s="154">
        <v>6.6000000000000003E-2</v>
      </c>
      <c r="M19" s="201">
        <v>0.28000000000000003</v>
      </c>
      <c r="N19" s="203">
        <v>35</v>
      </c>
      <c r="O19" s="208">
        <f t="shared" si="0"/>
        <v>8.387096774193549E-2</v>
      </c>
      <c r="P19" s="209">
        <f t="shared" si="0"/>
        <v>0.44230769230769224</v>
      </c>
      <c r="Q19" s="184">
        <v>0</v>
      </c>
      <c r="S19" s="44">
        <v>3</v>
      </c>
      <c r="T19" s="44" t="s">
        <v>136</v>
      </c>
      <c r="U19" s="48">
        <v>0.2</v>
      </c>
      <c r="V19" s="152" t="s">
        <v>168</v>
      </c>
    </row>
    <row r="20" spans="1:22" s="44" customFormat="1" x14ac:dyDescent="0.2">
      <c r="A20" s="44" t="s">
        <v>137</v>
      </c>
      <c r="B20" s="141">
        <f>B$7*VLOOKUP(T15,$E$17:$N$32,9)/1000</f>
        <v>6.0899999999999996E-2</v>
      </c>
      <c r="C20" s="44" t="s">
        <v>127</v>
      </c>
      <c r="E20" s="197">
        <v>4</v>
      </c>
      <c r="F20" s="153" t="s">
        <v>138</v>
      </c>
      <c r="G20" s="154">
        <v>70</v>
      </c>
      <c r="H20" s="195">
        <v>84</v>
      </c>
      <c r="I20" s="154">
        <v>11</v>
      </c>
      <c r="J20" s="154">
        <v>8.5</v>
      </c>
      <c r="K20" s="154">
        <v>0.52</v>
      </c>
      <c r="L20" s="154">
        <v>0.18</v>
      </c>
      <c r="M20" s="201">
        <v>0.28999999999999998</v>
      </c>
      <c r="N20" s="203">
        <v>80</v>
      </c>
      <c r="O20" s="208">
        <f t="shared" si="0"/>
        <v>0.13095238095238096</v>
      </c>
      <c r="P20" s="209">
        <f t="shared" si="0"/>
        <v>0.77272727272727271</v>
      </c>
      <c r="Q20" s="184">
        <v>1</v>
      </c>
      <c r="S20" s="44">
        <v>4</v>
      </c>
      <c r="T20" s="44" t="s">
        <v>8</v>
      </c>
      <c r="U20" s="45">
        <v>0.45</v>
      </c>
      <c r="V20" s="152" t="s">
        <v>2</v>
      </c>
    </row>
    <row r="21" spans="1:22" s="44" customFormat="1" x14ac:dyDescent="0.2">
      <c r="B21" s="141"/>
      <c r="E21" s="197">
        <v>5</v>
      </c>
      <c r="F21" s="153" t="s">
        <v>139</v>
      </c>
      <c r="G21" s="154">
        <v>60</v>
      </c>
      <c r="H21" s="195">
        <v>40</v>
      </c>
      <c r="I21" s="154">
        <v>11</v>
      </c>
      <c r="J21" s="154">
        <v>9.1999999999999993</v>
      </c>
      <c r="K21" s="154">
        <v>0.42</v>
      </c>
      <c r="L21" s="154">
        <v>8.6999999999999994E-2</v>
      </c>
      <c r="M21" s="201">
        <v>0.32</v>
      </c>
      <c r="N21" s="203">
        <v>60</v>
      </c>
      <c r="O21" s="208">
        <f t="shared" si="0"/>
        <v>0.27500000000000002</v>
      </c>
      <c r="P21" s="209">
        <f t="shared" si="0"/>
        <v>0.83636363636363631</v>
      </c>
      <c r="Q21" s="184">
        <v>3.5</v>
      </c>
      <c r="S21" s="44">
        <v>5</v>
      </c>
      <c r="T21" s="44" t="s">
        <v>139</v>
      </c>
      <c r="U21" s="48">
        <v>0.35</v>
      </c>
      <c r="V21" s="152" t="s">
        <v>168</v>
      </c>
    </row>
    <row r="22" spans="1:22" s="44" customFormat="1" x14ac:dyDescent="0.2">
      <c r="A22" s="44" t="s">
        <v>32</v>
      </c>
      <c r="B22" s="141"/>
      <c r="E22" s="197">
        <v>6</v>
      </c>
      <c r="F22" s="153" t="s">
        <v>140</v>
      </c>
      <c r="G22" s="154">
        <v>50</v>
      </c>
      <c r="H22" s="195">
        <v>41</v>
      </c>
      <c r="I22" s="154">
        <v>13</v>
      </c>
      <c r="J22" s="154">
        <v>9.5</v>
      </c>
      <c r="K22" s="154">
        <v>0.45</v>
      </c>
      <c r="L22" s="154">
        <v>0.11</v>
      </c>
      <c r="M22" s="201">
        <v>0.31</v>
      </c>
      <c r="N22" s="204">
        <v>60</v>
      </c>
      <c r="O22" s="208">
        <f t="shared" ref="O22:O28" si="1">I22/H22</f>
        <v>0.31707317073170732</v>
      </c>
      <c r="P22" s="209">
        <f t="shared" si="0"/>
        <v>0.73076923076923073</v>
      </c>
      <c r="Q22" s="184">
        <v>3.5</v>
      </c>
      <c r="S22" s="44">
        <v>6</v>
      </c>
      <c r="T22" s="44" t="s">
        <v>140</v>
      </c>
      <c r="U22" s="48">
        <v>0.35</v>
      </c>
      <c r="V22" s="152" t="s">
        <v>168</v>
      </c>
    </row>
    <row r="23" spans="1:22" s="44" customFormat="1" x14ac:dyDescent="0.2">
      <c r="A23" s="44" t="s">
        <v>141</v>
      </c>
      <c r="B23" s="155">
        <f>'Temp&amp;RT'!J43*100</f>
        <v>70.290367548158656</v>
      </c>
      <c r="C23" s="44" t="s">
        <v>142</v>
      </c>
      <c r="E23" s="197">
        <v>7</v>
      </c>
      <c r="F23" s="153" t="s">
        <v>143</v>
      </c>
      <c r="G23" s="154">
        <v>400</v>
      </c>
      <c r="H23" s="195">
        <v>51</v>
      </c>
      <c r="I23" s="154">
        <v>15</v>
      </c>
      <c r="J23" s="154">
        <v>10</v>
      </c>
      <c r="K23" s="154">
        <v>0.3</v>
      </c>
      <c r="L23" s="154">
        <v>7.0999999999999994E-2</v>
      </c>
      <c r="M23" s="201">
        <v>0.25</v>
      </c>
      <c r="N23" s="203">
        <v>60</v>
      </c>
      <c r="O23" s="208">
        <f t="shared" si="1"/>
        <v>0.29411764705882354</v>
      </c>
      <c r="P23" s="209">
        <f t="shared" ref="P23:P28" si="2">J23/I23</f>
        <v>0.66666666666666663</v>
      </c>
      <c r="Q23" s="184">
        <v>2.7</v>
      </c>
      <c r="S23" s="44">
        <v>7</v>
      </c>
      <c r="T23" s="44" t="s">
        <v>143</v>
      </c>
      <c r="U23" s="48">
        <v>0.35</v>
      </c>
      <c r="V23" s="152" t="s">
        <v>168</v>
      </c>
    </row>
    <row r="24" spans="1:22" s="44" customFormat="1" ht="14.25" x14ac:dyDescent="0.2">
      <c r="A24" s="44" t="s">
        <v>144</v>
      </c>
      <c r="B24" s="141">
        <v>0.5</v>
      </c>
      <c r="C24" s="44" t="s">
        <v>262</v>
      </c>
      <c r="E24" s="197">
        <v>8</v>
      </c>
      <c r="F24" s="153" t="s">
        <v>147</v>
      </c>
      <c r="G24" s="154">
        <v>2.2000000000000002</v>
      </c>
      <c r="H24" s="195">
        <v>85</v>
      </c>
      <c r="I24" s="154">
        <v>22</v>
      </c>
      <c r="J24" s="154">
        <v>17</v>
      </c>
      <c r="K24" s="154">
        <v>0.84</v>
      </c>
      <c r="L24" s="154">
        <v>0.3</v>
      </c>
      <c r="M24" s="201">
        <v>0.3</v>
      </c>
      <c r="N24" s="203">
        <v>70</v>
      </c>
      <c r="O24" s="208">
        <f t="shared" si="1"/>
        <v>0.25882352941176473</v>
      </c>
      <c r="P24" s="209">
        <f t="shared" si="2"/>
        <v>0.77272727272727271</v>
      </c>
      <c r="Q24" s="184">
        <v>3</v>
      </c>
      <c r="S24" s="44">
        <v>8</v>
      </c>
      <c r="T24" s="47" t="s">
        <v>147</v>
      </c>
      <c r="U24" s="48">
        <v>0.39</v>
      </c>
      <c r="V24" s="152" t="s">
        <v>2</v>
      </c>
    </row>
    <row r="25" spans="1:22" s="44" customFormat="1" ht="14.25" x14ac:dyDescent="0.2">
      <c r="A25" s="44" t="s">
        <v>146</v>
      </c>
      <c r="B25" s="141">
        <f>B24*B23/100*B17</f>
        <v>0.62734153036731599</v>
      </c>
      <c r="C25" s="44" t="s">
        <v>169</v>
      </c>
      <c r="E25" s="197">
        <v>9</v>
      </c>
      <c r="F25" s="153" t="s">
        <v>145</v>
      </c>
      <c r="G25" s="154">
        <v>2</v>
      </c>
      <c r="H25" s="195">
        <v>64</v>
      </c>
      <c r="I25" s="154">
        <v>16</v>
      </c>
      <c r="J25" s="154">
        <v>12</v>
      </c>
      <c r="K25" s="154">
        <v>1.1000000000000001</v>
      </c>
      <c r="L25" s="154">
        <v>0.3</v>
      </c>
      <c r="M25" s="201">
        <v>0.4</v>
      </c>
      <c r="N25" s="203">
        <v>70</v>
      </c>
      <c r="O25" s="208">
        <f t="shared" si="1"/>
        <v>0.25</v>
      </c>
      <c r="P25" s="209">
        <f t="shared" si="2"/>
        <v>0.75</v>
      </c>
      <c r="Q25" s="184">
        <v>2.7</v>
      </c>
      <c r="S25" s="44">
        <v>9</v>
      </c>
      <c r="T25" s="47" t="s">
        <v>167</v>
      </c>
      <c r="U25" s="48">
        <v>0.39</v>
      </c>
      <c r="V25" s="152" t="s">
        <v>168</v>
      </c>
    </row>
    <row r="26" spans="1:22" s="44" customFormat="1" x14ac:dyDescent="0.2">
      <c r="A26" s="44" t="s">
        <v>148</v>
      </c>
      <c r="B26" s="156">
        <v>60</v>
      </c>
      <c r="E26" s="197">
        <v>10</v>
      </c>
      <c r="F26" s="153" t="s">
        <v>149</v>
      </c>
      <c r="G26" s="154">
        <v>8</v>
      </c>
      <c r="H26" s="195">
        <v>47</v>
      </c>
      <c r="I26" s="154">
        <v>12</v>
      </c>
      <c r="J26" s="154">
        <v>9.1</v>
      </c>
      <c r="K26" s="154">
        <v>0.62</v>
      </c>
      <c r="L26" s="154">
        <v>0.23</v>
      </c>
      <c r="M26" s="201">
        <v>0.24</v>
      </c>
      <c r="N26" s="203">
        <v>70</v>
      </c>
      <c r="O26" s="208">
        <f t="shared" si="1"/>
        <v>0.25531914893617019</v>
      </c>
      <c r="P26" s="209">
        <f t="shared" si="2"/>
        <v>0.7583333333333333</v>
      </c>
      <c r="Q26" s="184">
        <v>2.8</v>
      </c>
      <c r="S26" s="44">
        <v>10</v>
      </c>
      <c r="T26" s="44" t="s">
        <v>149</v>
      </c>
      <c r="U26" s="48">
        <v>0.39</v>
      </c>
      <c r="V26" s="152" t="s">
        <v>168</v>
      </c>
    </row>
    <row r="27" spans="1:22" s="44" customFormat="1" ht="16.5" thickBot="1" x14ac:dyDescent="0.35">
      <c r="A27" s="44" t="s">
        <v>223</v>
      </c>
      <c r="B27" s="141">
        <f>(100-B26)*B25/B26</f>
        <v>0.41822768691154394</v>
      </c>
      <c r="C27" s="44" t="s">
        <v>169</v>
      </c>
      <c r="E27" s="198">
        <v>11</v>
      </c>
      <c r="F27" s="191" t="s">
        <v>150</v>
      </c>
      <c r="G27" s="192">
        <v>3</v>
      </c>
      <c r="H27" s="214">
        <v>110</v>
      </c>
      <c r="I27" s="192">
        <v>31</v>
      </c>
      <c r="J27" s="192">
        <v>19</v>
      </c>
      <c r="K27" s="192">
        <v>1.5</v>
      </c>
      <c r="L27" s="192">
        <v>0.54</v>
      </c>
      <c r="M27" s="215">
        <v>0.71</v>
      </c>
      <c r="N27" s="205">
        <v>70</v>
      </c>
      <c r="O27" s="210">
        <f t="shared" si="1"/>
        <v>0.2818181818181818</v>
      </c>
      <c r="P27" s="211">
        <f t="shared" si="2"/>
        <v>0.61290322580645162</v>
      </c>
      <c r="Q27" s="193">
        <v>2.4</v>
      </c>
      <c r="S27" s="44">
        <v>11</v>
      </c>
      <c r="T27" s="44" t="s">
        <v>150</v>
      </c>
      <c r="U27" s="48">
        <v>0.39</v>
      </c>
      <c r="V27" s="152" t="s">
        <v>168</v>
      </c>
    </row>
    <row r="28" spans="1:22" s="44" customFormat="1" ht="15" thickBot="1" x14ac:dyDescent="0.25">
      <c r="A28" s="157" t="s">
        <v>108</v>
      </c>
      <c r="B28" s="169">
        <f>B27+B25</f>
        <v>1.04556921727886</v>
      </c>
      <c r="C28" s="157" t="s">
        <v>169</v>
      </c>
      <c r="E28" s="216">
        <v>12</v>
      </c>
      <c r="F28" s="217" t="s">
        <v>266</v>
      </c>
      <c r="G28" s="218">
        <v>68</v>
      </c>
      <c r="H28" s="219">
        <v>8.5</v>
      </c>
      <c r="I28" s="218">
        <f>0.13/68*1000</f>
        <v>1.911764705882353</v>
      </c>
      <c r="J28" s="218">
        <f>I28*0.89</f>
        <v>1.7014705882352943</v>
      </c>
      <c r="K28" s="218" t="e">
        <f>NA()</f>
        <v>#N/A</v>
      </c>
      <c r="L28" s="218" t="e">
        <f>NA()</f>
        <v>#N/A</v>
      </c>
      <c r="M28" s="218" t="e">
        <f>NA()</f>
        <v>#N/A</v>
      </c>
      <c r="N28" s="220">
        <v>30</v>
      </c>
      <c r="O28" s="221">
        <f t="shared" si="1"/>
        <v>0.22491349480968859</v>
      </c>
      <c r="P28" s="222">
        <f t="shared" si="2"/>
        <v>0.89</v>
      </c>
      <c r="Q28" s="223">
        <v>3</v>
      </c>
      <c r="S28" s="44">
        <v>12</v>
      </c>
      <c r="T28" s="44" t="s">
        <v>264</v>
      </c>
      <c r="U28" s="48">
        <v>0.3</v>
      </c>
      <c r="V28" s="152" t="s">
        <v>168</v>
      </c>
    </row>
    <row r="29" spans="1:22" s="44" customFormat="1" ht="13.5" customHeight="1" thickBot="1" x14ac:dyDescent="0.25">
      <c r="A29" s="44" t="s">
        <v>151</v>
      </c>
      <c r="B29" s="141">
        <v>39</v>
      </c>
      <c r="C29" s="44" t="s">
        <v>170</v>
      </c>
      <c r="E29" s="198">
        <v>13</v>
      </c>
      <c r="F29" s="227" t="s">
        <v>268</v>
      </c>
      <c r="G29" s="257" t="s">
        <v>280</v>
      </c>
      <c r="S29" s="44">
        <v>13</v>
      </c>
      <c r="T29" s="47" t="s">
        <v>5</v>
      </c>
      <c r="U29" s="48">
        <v>0.2</v>
      </c>
      <c r="V29" s="152" t="s">
        <v>6</v>
      </c>
    </row>
    <row r="30" spans="1:22" s="44" customFormat="1" ht="13.5" thickBot="1" x14ac:dyDescent="0.25">
      <c r="A30" s="157" t="s">
        <v>152</v>
      </c>
      <c r="B30" s="158">
        <f>B29*B25</f>
        <v>24.466319684325324</v>
      </c>
      <c r="C30" s="157" t="s">
        <v>153</v>
      </c>
      <c r="E30" s="216">
        <v>14</v>
      </c>
      <c r="F30" s="227" t="s">
        <v>269</v>
      </c>
      <c r="S30" s="44">
        <v>14</v>
      </c>
      <c r="T30" s="47" t="s">
        <v>9</v>
      </c>
      <c r="U30" s="48">
        <v>0.40600000000000003</v>
      </c>
      <c r="V30" s="152" t="s">
        <v>6</v>
      </c>
    </row>
    <row r="31" spans="1:22" s="44" customFormat="1" ht="13.5" thickBot="1" x14ac:dyDescent="0.25">
      <c r="A31" s="157" t="s">
        <v>155</v>
      </c>
      <c r="B31" s="158">
        <f>B30/24/60/60*1000</f>
        <v>0.2831749963463579</v>
      </c>
      <c r="C31" s="157" t="s">
        <v>156</v>
      </c>
      <c r="E31" s="198">
        <v>15</v>
      </c>
      <c r="F31" s="227" t="s">
        <v>270</v>
      </c>
      <c r="S31" s="44">
        <v>15</v>
      </c>
      <c r="T31" s="47"/>
      <c r="U31" s="47"/>
      <c r="V31" s="47"/>
    </row>
    <row r="32" spans="1:22" s="44" customFormat="1" ht="13.5" thickBot="1" x14ac:dyDescent="0.25">
      <c r="A32" s="157" t="s">
        <v>98</v>
      </c>
      <c r="B32" s="158">
        <f>B31*D32/100</f>
        <v>5.6634999269271583E-2</v>
      </c>
      <c r="C32" s="157" t="s">
        <v>228</v>
      </c>
      <c r="D32" s="230">
        <v>20</v>
      </c>
      <c r="E32" s="216">
        <v>16</v>
      </c>
      <c r="I32" s="160"/>
      <c r="L32" s="224"/>
      <c r="S32" s="44">
        <v>16</v>
      </c>
    </row>
    <row r="33" spans="1:19" s="44" customFormat="1" x14ac:dyDescent="0.2">
      <c r="A33" s="44" t="s">
        <v>158</v>
      </c>
      <c r="B33" s="161">
        <v>4.4749999999999996</v>
      </c>
      <c r="C33" s="44" t="s">
        <v>159</v>
      </c>
      <c r="F33" s="225" t="s">
        <v>267</v>
      </c>
      <c r="S33" s="44">
        <v>17</v>
      </c>
    </row>
    <row r="34" spans="1:19" s="44" customFormat="1" x14ac:dyDescent="0.2">
      <c r="A34" s="157" t="s">
        <v>160</v>
      </c>
      <c r="B34" s="162">
        <f>B32*24*365*B33/100</f>
        <v>22.201486063547154</v>
      </c>
      <c r="C34" s="157" t="s">
        <v>161</v>
      </c>
      <c r="I34" s="160"/>
    </row>
    <row r="35" spans="1:19" s="44" customFormat="1" x14ac:dyDescent="0.2">
      <c r="B35" s="164"/>
    </row>
    <row r="36" spans="1:19" s="44" customFormat="1" ht="13.5" thickBot="1" x14ac:dyDescent="0.25">
      <c r="A36" s="44" t="s">
        <v>162</v>
      </c>
      <c r="B36" s="164"/>
    </row>
    <row r="37" spans="1:19" s="44" customFormat="1" ht="13.5" thickBot="1" x14ac:dyDescent="0.25">
      <c r="A37" s="44" t="s">
        <v>163</v>
      </c>
      <c r="B37" s="176">
        <f>VLOOKUP($T$15,$E$17:$R$32,13)</f>
        <v>1</v>
      </c>
      <c r="C37" s="44" t="s">
        <v>164</v>
      </c>
      <c r="D37" s="246" t="s">
        <v>242</v>
      </c>
      <c r="E37" s="247"/>
      <c r="F37" s="248"/>
    </row>
    <row r="38" spans="1:19" s="44" customFormat="1" ht="15" thickBot="1" x14ac:dyDescent="0.25">
      <c r="A38" s="157" t="s">
        <v>165</v>
      </c>
      <c r="B38" s="158">
        <f>B37*B15/1000+B15/1000</f>
        <v>3.5279999999999999E-2</v>
      </c>
      <c r="C38" s="157" t="s">
        <v>169</v>
      </c>
    </row>
    <row r="39" spans="1:19" s="160" customFormat="1" ht="13.5" thickBot="1" x14ac:dyDescent="0.25">
      <c r="A39" s="160" t="s">
        <v>249</v>
      </c>
      <c r="B39" s="155">
        <f>IF(C39="Minimum",1,IF(C39="Maximum performance",2,IF(C39="Recommended",4,8)))</f>
        <v>4</v>
      </c>
      <c r="C39" s="183" t="s">
        <v>252</v>
      </c>
      <c r="D39" s="246" t="s">
        <v>242</v>
      </c>
      <c r="E39" s="247"/>
      <c r="F39" s="248"/>
      <c r="H39" s="249" t="s">
        <v>249</v>
      </c>
      <c r="I39" s="249"/>
      <c r="J39" s="249"/>
      <c r="K39" s="249"/>
    </row>
    <row r="40" spans="1:19" s="44" customFormat="1" x14ac:dyDescent="0.2">
      <c r="A40" s="44" t="s">
        <v>61</v>
      </c>
      <c r="B40" s="176">
        <f>INT(B39/'Temp&amp;RT'!E34*10+0.5)/10</f>
        <v>11.9</v>
      </c>
      <c r="C40" s="44" t="s">
        <v>102</v>
      </c>
      <c r="H40" s="177" t="s">
        <v>250</v>
      </c>
      <c r="I40" s="178"/>
      <c r="J40" s="179"/>
      <c r="K40" s="171">
        <v>1</v>
      </c>
    </row>
    <row r="41" spans="1:19" s="44" customFormat="1" ht="14.25" x14ac:dyDescent="0.2">
      <c r="A41" s="157" t="s">
        <v>36</v>
      </c>
      <c r="B41" s="158">
        <f>B38*B40</f>
        <v>0.41983199999999998</v>
      </c>
      <c r="C41" s="157" t="s">
        <v>171</v>
      </c>
      <c r="H41" s="177" t="s">
        <v>251</v>
      </c>
      <c r="I41" s="178"/>
      <c r="J41" s="179"/>
      <c r="K41" s="154">
        <v>2</v>
      </c>
    </row>
    <row r="42" spans="1:19" s="44" customFormat="1" ht="14.25" x14ac:dyDescent="0.2">
      <c r="A42" s="159" t="s">
        <v>245</v>
      </c>
      <c r="B42" s="166"/>
      <c r="C42" s="167" t="s">
        <v>246</v>
      </c>
      <c r="H42" s="180" t="s">
        <v>252</v>
      </c>
      <c r="I42" s="181"/>
      <c r="J42" s="182"/>
      <c r="K42" s="170">
        <v>4</v>
      </c>
    </row>
    <row r="43" spans="1:19" s="44" customFormat="1" ht="14.25" x14ac:dyDescent="0.2">
      <c r="A43" s="157" t="s">
        <v>166</v>
      </c>
      <c r="B43" s="175">
        <f>INT(B17/B38*10+0.5)/10</f>
        <v>50.6</v>
      </c>
      <c r="C43" s="157" t="s">
        <v>243</v>
      </c>
      <c r="H43" s="177" t="s">
        <v>253</v>
      </c>
      <c r="I43" s="178"/>
      <c r="J43" s="179"/>
      <c r="K43" s="154">
        <v>8</v>
      </c>
    </row>
  </sheetData>
  <mergeCells count="6">
    <mergeCell ref="D39:F39"/>
    <mergeCell ref="E1:G1"/>
    <mergeCell ref="D37:F37"/>
    <mergeCell ref="H39:K39"/>
    <mergeCell ref="H15:M15"/>
    <mergeCell ref="H14:M14"/>
  </mergeCells>
  <phoneticPr fontId="0" type="noConversion"/>
  <hyperlinks>
    <hyperlink ref="C14" location="Instructions!A14" display="Return to Instructions"/>
    <hyperlink ref="E1" r:id="rId1"/>
    <hyperlink ref="D39:F39" location="ResponseSurfaceVSRT!I3" display="Return to Response Surface"/>
    <hyperlink ref="D37:F37" location="ResponseSurfaceVSRT!G3" display="Return to Response Surface"/>
    <hyperlink ref="C4" location="ResponseSurfaceVSRT!K34" display="Return to Response Surface"/>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39" listFillRange="H40:H43" r:id="rId6">
            <anchor moveWithCells="1">
              <from>
                <xdr:col>2</xdr:col>
                <xdr:colOff>0</xdr:colOff>
                <xdr:row>39</xdr:row>
                <xdr:rowOff>114300</xdr:rowOff>
              </from>
              <to>
                <xdr:col>2</xdr:col>
                <xdr:colOff>1419225</xdr:colOff>
                <xdr:row>40</xdr:row>
                <xdr:rowOff>104775</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161925</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40</xdr:row>
                <xdr:rowOff>171450</xdr:rowOff>
              </from>
              <to>
                <xdr:col>1</xdr:col>
                <xdr:colOff>933450</xdr:colOff>
                <xdr:row>42</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zoomScale="70" zoomScaleNormal="70" workbookViewId="0"/>
  </sheetViews>
  <sheetFormatPr defaultRowHeight="12.75" x14ac:dyDescent="0.2"/>
  <cols>
    <col min="1" max="1" width="11.28515625" bestFit="1" customWidth="1"/>
  </cols>
  <sheetData>
    <row r="1" spans="1:27" ht="18" x14ac:dyDescent="0.25">
      <c r="A1" s="15" t="s">
        <v>259</v>
      </c>
      <c r="I1" s="212" t="s">
        <v>279</v>
      </c>
    </row>
    <row r="2" spans="1:27" ht="13.5" thickBot="1" x14ac:dyDescent="0.25">
      <c r="A2" t="s">
        <v>24</v>
      </c>
      <c r="J2" t="s">
        <v>25</v>
      </c>
    </row>
    <row r="3" spans="1:27" ht="15" thickBot="1" x14ac:dyDescent="0.25">
      <c r="A3" s="59"/>
      <c r="B3" s="245" t="s">
        <v>278</v>
      </c>
      <c r="C3" s="187">
        <f>'Temp&amp;RT'!C34</f>
        <v>35</v>
      </c>
      <c r="D3" s="123" t="s">
        <v>238</v>
      </c>
      <c r="E3" s="246" t="s">
        <v>239</v>
      </c>
      <c r="F3" s="248"/>
      <c r="G3" s="246" t="s">
        <v>240</v>
      </c>
      <c r="H3" s="248"/>
      <c r="I3" s="246" t="s">
        <v>241</v>
      </c>
      <c r="J3" s="248"/>
      <c r="Q3" s="60"/>
      <c r="R3" s="232"/>
      <c r="S3" s="233"/>
      <c r="T3" s="234"/>
      <c r="U3" s="235"/>
      <c r="V3" s="236"/>
      <c r="W3" s="236"/>
      <c r="X3" s="236"/>
      <c r="Y3" s="236"/>
      <c r="Z3" s="256"/>
      <c r="AA3" s="256"/>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2" t="s">
        <v>22</v>
      </c>
      <c r="H34" s="187">
        <f>Calculator!$U$15</f>
        <v>0.45</v>
      </c>
      <c r="I34" s="187" t="s">
        <v>23</v>
      </c>
      <c r="J34" s="59" t="str">
        <f>VLOOKUP(Calculator!$T$15,Calculator!$S$17:$T$31,2)</f>
        <v>Piggery</v>
      </c>
      <c r="K34" s="246" t="s">
        <v>244</v>
      </c>
      <c r="L34" s="248"/>
      <c r="X34" s="122"/>
      <c r="Y34" s="187"/>
      <c r="Z34" s="187"/>
      <c r="AA34" s="59"/>
      <c r="AB34" s="236"/>
      <c r="AC34" s="236"/>
    </row>
    <row r="35" spans="1:29" x14ac:dyDescent="0.2">
      <c r="F35" s="60"/>
      <c r="G35" s="60"/>
      <c r="H35" s="60"/>
      <c r="I35" s="60"/>
      <c r="J35" s="60"/>
      <c r="K35" s="60"/>
      <c r="W35" s="60"/>
      <c r="X35" s="60"/>
      <c r="Y35" s="60"/>
      <c r="Z35" s="60"/>
      <c r="AA35" s="60"/>
      <c r="AB35" s="60"/>
    </row>
    <row r="40" spans="1:29" ht="15" thickBot="1" x14ac:dyDescent="0.25">
      <c r="A40" s="59" t="s">
        <v>234</v>
      </c>
      <c r="D40" s="17" t="s">
        <v>247</v>
      </c>
      <c r="G40" t="s">
        <v>235</v>
      </c>
      <c r="Q40" s="1" t="s">
        <v>277</v>
      </c>
      <c r="V40" s="17" t="s">
        <v>247</v>
      </c>
      <c r="W40" t="s">
        <v>235</v>
      </c>
    </row>
    <row r="41" spans="1:29" ht="13.5" thickBot="1" x14ac:dyDescent="0.25">
      <c r="B41" s="124" t="s">
        <v>236</v>
      </c>
      <c r="C41" s="139">
        <f>'VS&amp;RT'!B39</f>
        <v>30.6</v>
      </c>
      <c r="D41" s="139">
        <f>'VS&amp;RT'!B40</f>
        <v>35.6</v>
      </c>
      <c r="E41" s="139">
        <f>'VS&amp;RT'!B41</f>
        <v>40.6</v>
      </c>
      <c r="F41" s="139">
        <f>'VS&amp;RT'!B42</f>
        <v>45.6</v>
      </c>
      <c r="G41" s="140">
        <f>'VS&amp;RT'!B43</f>
        <v>50.6</v>
      </c>
      <c r="H41" s="139">
        <f>'VS&amp;RT'!B44</f>
        <v>55.6</v>
      </c>
      <c r="I41" s="139">
        <f>'VS&amp;RT'!B45</f>
        <v>60.6</v>
      </c>
      <c r="J41" s="139">
        <f>'VS&amp;RT'!B46</f>
        <v>65.599999999999994</v>
      </c>
      <c r="K41" s="240">
        <f>'VS&amp;RT'!B47</f>
        <v>70.599999999999994</v>
      </c>
      <c r="R41" s="124" t="s">
        <v>236</v>
      </c>
      <c r="S41" s="139">
        <f t="shared" ref="S41:AA41" si="0">C41</f>
        <v>30.6</v>
      </c>
      <c r="T41" s="139">
        <f t="shared" si="0"/>
        <v>35.6</v>
      </c>
      <c r="U41" s="139">
        <f t="shared" si="0"/>
        <v>40.6</v>
      </c>
      <c r="V41" s="139">
        <f t="shared" si="0"/>
        <v>45.6</v>
      </c>
      <c r="W41" s="237">
        <f t="shared" si="0"/>
        <v>50.6</v>
      </c>
      <c r="X41" s="139">
        <f t="shared" si="0"/>
        <v>55.6</v>
      </c>
      <c r="Y41" s="139">
        <f t="shared" si="0"/>
        <v>60.6</v>
      </c>
      <c r="Z41" s="139">
        <f t="shared" si="0"/>
        <v>65.599999999999994</v>
      </c>
      <c r="AA41" s="240">
        <f t="shared" si="0"/>
        <v>70.599999999999994</v>
      </c>
    </row>
    <row r="42" spans="1:29" x14ac:dyDescent="0.2">
      <c r="B42" s="131">
        <f>'RT&amp;Temp'!D39</f>
        <v>3.9000000000000004</v>
      </c>
      <c r="C42" s="130">
        <f>IF($B42&lt;1/(0.566*(1+1110*EXP(-1*0.187*$C$3))^(1/(1-2.83))),"",$H$34*C$41/$B42*(1-(0.6+0.0006*EXP(0.1185*C$41))/(IF($C$3&lt;5,0,IF($C$3&gt;60,NA(),0.566*(1+1110*EXP(-1*0.187*$C$3))^(1/(1-2.83))))*$B42-1+(0.6+0.0006*EXP(0.1185*C$41)))))</f>
        <v>1.1757747899003355</v>
      </c>
      <c r="D42" s="130">
        <f>IF($B42&lt;1/(0.566*(1+1110*EXP(-1*0.187*$C$3))^(1/(1-2.83))),"",$H$34*D$41/$B42*(1-(0.6+0.0006*EXP(0.1185*D$41))/(IF($C$3&lt;5,0,IF($C$3&gt;60,NA(),0.566*(1+1110*EXP(-1*0.187*$C$3))^(1/(1-2.83))))*$B42-1+(0.6+0.0006*EXP(0.1185*D$41)))))</f>
        <v>1.3416987182728972</v>
      </c>
      <c r="E42" s="130">
        <f t="shared" ref="E42:K50" si="1">IF($B42&lt;1/(0.566*(1+1110*EXP(-1*0.187*$C$3))^(1/(1-2.83))),"",$H$34*E$41/$B42*(1-(0.6+0.0006*EXP(0.1185*E$41))/(IF($C$3&lt;5,0,IF($C$3&gt;60,NA(),0.566*(1+1110*EXP(-1*0.187*$C$3))^(1/(1-2.83))))*$B42-1+(0.6+0.0006*EXP(0.1185*E$41)))))</f>
        <v>1.4789185274372934</v>
      </c>
      <c r="F42" s="130">
        <f t="shared" si="1"/>
        <v>1.5662328657747282</v>
      </c>
      <c r="G42" s="130">
        <f t="shared" si="1"/>
        <v>1.5753379830048184</v>
      </c>
      <c r="H42" s="130">
        <f t="shared" si="1"/>
        <v>1.4804631158411228</v>
      </c>
      <c r="I42" s="130">
        <f t="shared" si="1"/>
        <v>1.2788494203272149</v>
      </c>
      <c r="J42" s="130">
        <f t="shared" si="1"/>
        <v>1.006676951861369</v>
      </c>
      <c r="K42" s="241">
        <f t="shared" si="1"/>
        <v>0.72546062628493813</v>
      </c>
      <c r="R42" s="131">
        <f t="shared" ref="R42:R50" si="2">B42</f>
        <v>3.9000000000000004</v>
      </c>
      <c r="S42" s="130">
        <f t="shared" ref="S42:S50" si="3">IF($B42&lt;1/(0.566*(1+1110*EXP(-1*0.187*$C$3))^(1/(1-2.83))),"",K54/S$41)</f>
        <v>0.14985364969318002</v>
      </c>
      <c r="T42" s="130">
        <f t="shared" ref="T42:T50" si="4">IF($B42&lt;1/(0.566*(1+1110*EXP(-1*0.187*$C$3))^(1/(1-2.83))),"",L54/T$41)</f>
        <v>0.14698384835012077</v>
      </c>
      <c r="U42" s="130">
        <f t="shared" ref="U42:U50" si="5">IF($B42&lt;1/(0.566*(1+1110*EXP(-1*0.187*$C$3))^(1/(1-2.83))),"",M54/U$41)</f>
        <v>0.14206360238929666</v>
      </c>
      <c r="V42" s="130">
        <f t="shared" ref="V42:V50" si="6">IF($B42&lt;1/(0.566*(1+1110*EXP(-1*0.187*$C$3))^(1/(1-2.83))),"",N54/V$41)</f>
        <v>0.13395412667810175</v>
      </c>
      <c r="W42" s="130">
        <f t="shared" ref="W42:W50" si="7">IF($B42&lt;1/(0.566*(1+1110*EXP(-1*0.187*$C$3))^(1/(1-2.83))),"",O54/W$41)</f>
        <v>0.12141933070590498</v>
      </c>
      <c r="X42" s="130">
        <f t="shared" ref="X42:X50" si="8">IF($B42&lt;1/(0.566*(1+1110*EXP(-1*0.187*$C$3))^(1/(1-2.83))),"",P54/X$41)</f>
        <v>0.10384543438453919</v>
      </c>
      <c r="Y42" s="130">
        <f t="shared" ref="Y42:Y50" si="9">IF($B42&lt;1/(0.566*(1+1110*EXP(-1*0.187*$C$3))^(1/(1-2.83))),"",Q54/Y$41)</f>
        <v>8.2302190417097992E-2</v>
      </c>
      <c r="Z42" s="130">
        <f t="shared" ref="Z42:Z50" si="10">IF($B42&lt;1/(0.566*(1+1110*EXP(-1*0.187*$C$3))^(1/(1-2.83))),"",R54/Z$41)</f>
        <v>5.9848172442977736E-2</v>
      </c>
      <c r="AA42" s="241">
        <f t="shared" ref="AA42:AA50" si="11">IF($B42&lt;1/(0.566*(1+1110*EXP(-1*0.187*$C$3))^(1/(1-2.83))),"",S54/AA$41)</f>
        <v>4.0075020432170809E-2</v>
      </c>
    </row>
    <row r="43" spans="1:29" x14ac:dyDescent="0.2">
      <c r="B43" s="131">
        <f>'RT&amp;Temp'!D40</f>
        <v>5.9</v>
      </c>
      <c r="C43" s="130">
        <f t="shared" ref="C43:D50" si="12">IF($B43&lt;1/(0.566*(1+1110*EXP(-1*0.187*$C$3))^(1/(1-2.83))),"",$H$34*C$41/$B43*(1-(0.6+0.0006*EXP(0.1185*C$41))/(IF($C$3&lt;5,0,IF($C$3&gt;60,NA(),0.566*(1+1110*EXP(-1*0.187*$C$3))^(1/(1-2.83))))*$B43-1+(0.6+0.0006*EXP(0.1185*C$41)))))</f>
        <v>1.4289566477482984</v>
      </c>
      <c r="D43" s="130">
        <f t="shared" si="12"/>
        <v>1.6437890982943426</v>
      </c>
      <c r="E43" s="130">
        <f t="shared" si="1"/>
        <v>1.8373664921268502</v>
      </c>
      <c r="F43" s="130">
        <f t="shared" si="1"/>
        <v>1.9919799252326498</v>
      </c>
      <c r="G43" s="130">
        <f t="shared" si="1"/>
        <v>2.079781971109719</v>
      </c>
      <c r="H43" s="130">
        <f t="shared" si="1"/>
        <v>2.0646489997536452</v>
      </c>
      <c r="I43" s="130">
        <f t="shared" si="1"/>
        <v>1.9157992938454453</v>
      </c>
      <c r="J43" s="130">
        <f t="shared" si="1"/>
        <v>1.6344577979813102</v>
      </c>
      <c r="K43" s="241">
        <f t="shared" si="1"/>
        <v>1.2717278550183289</v>
      </c>
      <c r="R43" s="131">
        <f t="shared" si="2"/>
        <v>5.9</v>
      </c>
      <c r="S43" s="130">
        <f t="shared" si="3"/>
        <v>0.27551778502336477</v>
      </c>
      <c r="T43" s="130">
        <f t="shared" si="4"/>
        <v>0.27242572134653431</v>
      </c>
      <c r="U43" s="130">
        <f t="shared" si="5"/>
        <v>0.26700646067853245</v>
      </c>
      <c r="V43" s="130">
        <f t="shared" si="6"/>
        <v>0.25773424471211914</v>
      </c>
      <c r="W43" s="130">
        <f t="shared" si="7"/>
        <v>0.2425042219278131</v>
      </c>
      <c r="X43" s="130">
        <f t="shared" si="8"/>
        <v>0.21909045141270697</v>
      </c>
      <c r="Y43" s="130">
        <f t="shared" si="9"/>
        <v>0.18652171342719684</v>
      </c>
      <c r="Z43" s="130">
        <f t="shared" si="10"/>
        <v>0.14700153975746541</v>
      </c>
      <c r="AA43" s="241">
        <f t="shared" si="11"/>
        <v>0.10627754029190002</v>
      </c>
    </row>
    <row r="44" spans="1:29" x14ac:dyDescent="0.2">
      <c r="B44" s="131">
        <f>'RT&amp;Temp'!D41</f>
        <v>7.9</v>
      </c>
      <c r="C44" s="130">
        <f t="shared" si="12"/>
        <v>1.2666484359702972</v>
      </c>
      <c r="D44" s="130">
        <f t="shared" si="12"/>
        <v>1.4619210379524399</v>
      </c>
      <c r="E44" s="130">
        <f t="shared" si="1"/>
        <v>1.6436538653016062</v>
      </c>
      <c r="F44" s="130">
        <f t="shared" si="1"/>
        <v>1.8000083266891316</v>
      </c>
      <c r="G44" s="130">
        <f t="shared" si="1"/>
        <v>1.9111312563911291</v>
      </c>
      <c r="H44" s="130">
        <f t="shared" si="1"/>
        <v>1.9478675375910373</v>
      </c>
      <c r="I44" s="130">
        <f t="shared" si="1"/>
        <v>1.8771347352709729</v>
      </c>
      <c r="J44" s="130">
        <f t="shared" si="1"/>
        <v>1.6800860232391941</v>
      </c>
      <c r="K44" s="241">
        <f t="shared" si="1"/>
        <v>1.3768785208188188</v>
      </c>
      <c r="R44" s="131">
        <f t="shared" si="2"/>
        <v>7.9</v>
      </c>
      <c r="S44" s="130">
        <f t="shared" si="3"/>
        <v>0.32701054392697215</v>
      </c>
      <c r="T44" s="130">
        <f t="shared" si="4"/>
        <v>0.32441506179281671</v>
      </c>
      <c r="U44" s="130">
        <f t="shared" si="5"/>
        <v>0.31982427428282484</v>
      </c>
      <c r="V44" s="130">
        <f t="shared" si="6"/>
        <v>0.31184354782552937</v>
      </c>
      <c r="W44" s="130">
        <f t="shared" si="7"/>
        <v>0.29837820010849642</v>
      </c>
      <c r="X44" s="130">
        <f t="shared" si="8"/>
        <v>0.27676535156419413</v>
      </c>
      <c r="Y44" s="130">
        <f t="shared" si="9"/>
        <v>0.24470898364093541</v>
      </c>
      <c r="Z44" s="130">
        <f t="shared" si="10"/>
        <v>0.20232743267667125</v>
      </c>
      <c r="AA44" s="241">
        <f t="shared" si="11"/>
        <v>0.15406997612561854</v>
      </c>
    </row>
    <row r="45" spans="1:29" x14ac:dyDescent="0.2">
      <c r="B45" s="131">
        <f>'RT&amp;Temp'!D42</f>
        <v>9.9</v>
      </c>
      <c r="C45" s="130">
        <f t="shared" si="12"/>
        <v>1.0973842011388364</v>
      </c>
      <c r="D45" s="130">
        <f t="shared" si="12"/>
        <v>1.2688570689839926</v>
      </c>
      <c r="E45" s="130">
        <f t="shared" si="1"/>
        <v>1.4311765239206176</v>
      </c>
      <c r="F45" s="130">
        <f t="shared" si="1"/>
        <v>1.5761280696196571</v>
      </c>
      <c r="G45" s="130">
        <f t="shared" si="1"/>
        <v>1.6894512692028612</v>
      </c>
      <c r="H45" s="130">
        <f t="shared" si="1"/>
        <v>1.7488001399252435</v>
      </c>
      <c r="I45" s="130">
        <f t="shared" si="1"/>
        <v>1.7252320114957267</v>
      </c>
      <c r="J45" s="130">
        <f t="shared" si="1"/>
        <v>1.5940700647836494</v>
      </c>
      <c r="K45" s="241">
        <f t="shared" si="1"/>
        <v>1.3563352145372491</v>
      </c>
      <c r="R45" s="131">
        <f t="shared" si="2"/>
        <v>9.9</v>
      </c>
      <c r="S45" s="130">
        <f t="shared" si="3"/>
        <v>0.35503606507432939</v>
      </c>
      <c r="T45" s="130">
        <f t="shared" si="4"/>
        <v>0.35285631974554849</v>
      </c>
      <c r="U45" s="130">
        <f t="shared" si="5"/>
        <v>0.34898146765552002</v>
      </c>
      <c r="V45" s="130">
        <f t="shared" si="6"/>
        <v>0.34218569932532028</v>
      </c>
      <c r="W45" s="130">
        <f t="shared" si="7"/>
        <v>0.33054481353969017</v>
      </c>
      <c r="X45" s="130">
        <f t="shared" si="8"/>
        <v>0.31138707527445886</v>
      </c>
      <c r="Y45" s="130">
        <f t="shared" si="9"/>
        <v>0.28184483356118306</v>
      </c>
      <c r="Z45" s="130">
        <f t="shared" si="10"/>
        <v>0.24056850063045931</v>
      </c>
      <c r="AA45" s="241">
        <f t="shared" si="11"/>
        <v>0.19019431478638482</v>
      </c>
    </row>
    <row r="46" spans="1:29" x14ac:dyDescent="0.2">
      <c r="A46" t="s">
        <v>235</v>
      </c>
      <c r="B46" s="132">
        <f>'RT&amp;Temp'!D43</f>
        <v>11.9</v>
      </c>
      <c r="C46" s="130">
        <f t="shared" si="12"/>
        <v>0.95826747544732094</v>
      </c>
      <c r="D46" s="130">
        <f t="shared" si="12"/>
        <v>1.1092663911264375</v>
      </c>
      <c r="E46" s="130">
        <f t="shared" si="1"/>
        <v>1.2537122913055865</v>
      </c>
      <c r="F46" s="130">
        <f t="shared" si="1"/>
        <v>1.3856276933065639</v>
      </c>
      <c r="G46" s="168">
        <f t="shared" si="1"/>
        <v>1.4944086545953059</v>
      </c>
      <c r="H46" s="130">
        <f t="shared" si="1"/>
        <v>1.5627581793044825</v>
      </c>
      <c r="I46" s="130">
        <f t="shared" si="1"/>
        <v>1.5664512739653293</v>
      </c>
      <c r="J46" s="130">
        <f t="shared" si="1"/>
        <v>1.4805757433884825</v>
      </c>
      <c r="K46" s="241">
        <f t="shared" si="1"/>
        <v>1.296065831947357</v>
      </c>
      <c r="Q46" t="s">
        <v>235</v>
      </c>
      <c r="R46" s="239">
        <f t="shared" si="2"/>
        <v>11.9</v>
      </c>
      <c r="S46" s="130">
        <f t="shared" si="3"/>
        <v>0.37265957378506925</v>
      </c>
      <c r="T46" s="130">
        <f t="shared" si="4"/>
        <v>0.37079410265181478</v>
      </c>
      <c r="U46" s="130">
        <f t="shared" si="5"/>
        <v>0.36746739572749948</v>
      </c>
      <c r="V46" s="130">
        <f t="shared" si="6"/>
        <v>0.36160020943745852</v>
      </c>
      <c r="W46" s="238">
        <f t="shared" si="7"/>
        <v>0.35145183774079325</v>
      </c>
      <c r="X46" s="130">
        <f t="shared" si="8"/>
        <v>0.33447522182955652</v>
      </c>
      <c r="Y46" s="130">
        <f t="shared" si="9"/>
        <v>0.30760346798989141</v>
      </c>
      <c r="Z46" s="130">
        <f t="shared" si="10"/>
        <v>0.26858005101102045</v>
      </c>
      <c r="AA46" s="241">
        <f t="shared" si="11"/>
        <v>0.21845868838772733</v>
      </c>
    </row>
    <row r="47" spans="1:29" x14ac:dyDescent="0.2">
      <c r="B47" s="131">
        <f>'RT&amp;Temp'!D44</f>
        <v>13.9</v>
      </c>
      <c r="C47" s="130">
        <f t="shared" si="12"/>
        <v>0.84703839185134544</v>
      </c>
      <c r="D47" s="130">
        <f t="shared" si="12"/>
        <v>0.9812792967309123</v>
      </c>
      <c r="E47" s="130">
        <f t="shared" si="1"/>
        <v>1.1106121660332082</v>
      </c>
      <c r="F47" s="130">
        <f t="shared" si="1"/>
        <v>1.2305097542274537</v>
      </c>
      <c r="G47" s="130">
        <f t="shared" si="1"/>
        <v>1.3328208825936225</v>
      </c>
      <c r="H47" s="130">
        <f t="shared" si="1"/>
        <v>1.4038807348979667</v>
      </c>
      <c r="I47" s="130">
        <f t="shared" si="1"/>
        <v>1.4235279222817949</v>
      </c>
      <c r="J47" s="130">
        <f t="shared" si="1"/>
        <v>1.36855033029962</v>
      </c>
      <c r="K47" s="241">
        <f t="shared" si="1"/>
        <v>1.2249692706397617</v>
      </c>
      <c r="R47" s="131">
        <f t="shared" si="2"/>
        <v>13.9</v>
      </c>
      <c r="S47" s="130">
        <f t="shared" si="3"/>
        <v>0.38476580544881378</v>
      </c>
      <c r="T47" s="130">
        <f t="shared" si="4"/>
        <v>0.38313995012808094</v>
      </c>
      <c r="U47" s="130">
        <f t="shared" si="5"/>
        <v>0.38023421447934963</v>
      </c>
      <c r="V47" s="130">
        <f t="shared" si="6"/>
        <v>0.37508959613512294</v>
      </c>
      <c r="W47" s="130">
        <f t="shared" si="7"/>
        <v>0.36613063770852478</v>
      </c>
      <c r="X47" s="130">
        <f t="shared" si="8"/>
        <v>0.35097018372449168</v>
      </c>
      <c r="Y47" s="130">
        <f t="shared" si="9"/>
        <v>0.32651878085341501</v>
      </c>
      <c r="Z47" s="130">
        <f t="shared" si="10"/>
        <v>0.28998246327994998</v>
      </c>
      <c r="AA47" s="241">
        <f t="shared" si="11"/>
        <v>0.24117666943190777</v>
      </c>
    </row>
    <row r="48" spans="1:29" x14ac:dyDescent="0.2">
      <c r="B48" s="131">
        <f>'RT&amp;Temp'!D45</f>
        <v>15.9</v>
      </c>
      <c r="C48" s="130">
        <f t="shared" si="12"/>
        <v>0.75748468099079025</v>
      </c>
      <c r="D48" s="130">
        <f t="shared" si="12"/>
        <v>0.87803503479872724</v>
      </c>
      <c r="E48" s="130">
        <f t="shared" si="1"/>
        <v>0.99477765332385459</v>
      </c>
      <c r="F48" s="130">
        <f t="shared" si="1"/>
        <v>1.1041715616940022</v>
      </c>
      <c r="G48" s="130">
        <f t="shared" si="1"/>
        <v>1.1997721565858324</v>
      </c>
      <c r="H48" s="130">
        <f t="shared" si="1"/>
        <v>1.2705588935015291</v>
      </c>
      <c r="I48" s="130">
        <f t="shared" si="1"/>
        <v>1.2996531407842069</v>
      </c>
      <c r="J48" s="130">
        <f t="shared" si="1"/>
        <v>1.2660716846045139</v>
      </c>
      <c r="K48" s="241">
        <f t="shared" si="1"/>
        <v>1.1537326019694647</v>
      </c>
      <c r="R48" s="131">
        <f t="shared" si="2"/>
        <v>15.9</v>
      </c>
      <c r="S48" s="130">
        <f t="shared" si="3"/>
        <v>0.39359498129913612</v>
      </c>
      <c r="T48" s="130">
        <f t="shared" si="4"/>
        <v>0.39215609700280235</v>
      </c>
      <c r="U48" s="130">
        <f t="shared" si="5"/>
        <v>0.38958041103077068</v>
      </c>
      <c r="V48" s="130">
        <f t="shared" si="6"/>
        <v>0.38500718927488231</v>
      </c>
      <c r="W48" s="130">
        <f t="shared" si="7"/>
        <v>0.37700350374930303</v>
      </c>
      <c r="X48" s="130">
        <f t="shared" si="8"/>
        <v>0.36334328069558114</v>
      </c>
      <c r="Y48" s="130">
        <f t="shared" si="9"/>
        <v>0.34099810129486618</v>
      </c>
      <c r="Z48" s="130">
        <f t="shared" si="10"/>
        <v>0.30686798453066727</v>
      </c>
      <c r="AA48" s="241">
        <f t="shared" si="11"/>
        <v>0.2598349627664942</v>
      </c>
    </row>
    <row r="49" spans="2:27" x14ac:dyDescent="0.2">
      <c r="B49" s="131">
        <f>'RT&amp;Temp'!D46</f>
        <v>17.899999999999999</v>
      </c>
      <c r="C49" s="130">
        <f t="shared" si="12"/>
        <v>0.68434435865802568</v>
      </c>
      <c r="D49" s="130">
        <f t="shared" si="12"/>
        <v>0.79360060776290686</v>
      </c>
      <c r="E49" s="130">
        <f t="shared" si="1"/>
        <v>0.89981918411374662</v>
      </c>
      <c r="F49" s="130">
        <f t="shared" si="1"/>
        <v>1.0001577118738996</v>
      </c>
      <c r="G49" s="130">
        <f t="shared" si="1"/>
        <v>1.0894003964949364</v>
      </c>
      <c r="H49" s="130">
        <f t="shared" si="1"/>
        <v>1.15849250947676</v>
      </c>
      <c r="I49" s="130">
        <f t="shared" si="1"/>
        <v>1.1931704507054104</v>
      </c>
      <c r="J49" s="130">
        <f t="shared" si="1"/>
        <v>1.1746799085891482</v>
      </c>
      <c r="K49" s="241">
        <f t="shared" si="1"/>
        <v>1.0863427432708224</v>
      </c>
      <c r="R49" s="131">
        <f t="shared" si="2"/>
        <v>17.899999999999999</v>
      </c>
      <c r="S49" s="130">
        <f t="shared" si="3"/>
        <v>0.40031908562021762</v>
      </c>
      <c r="T49" s="130">
        <f t="shared" si="4"/>
        <v>0.39902951907179862</v>
      </c>
      <c r="U49" s="130">
        <f t="shared" si="5"/>
        <v>0.39671831023734139</v>
      </c>
      <c r="V49" s="130">
        <f t="shared" si="6"/>
        <v>0.39260576847681578</v>
      </c>
      <c r="W49" s="130">
        <f t="shared" si="7"/>
        <v>0.38538077267310988</v>
      </c>
      <c r="X49" s="130">
        <f t="shared" si="8"/>
        <v>0.37296791222363307</v>
      </c>
      <c r="Y49" s="130">
        <f t="shared" si="9"/>
        <v>0.35243813642948585</v>
      </c>
      <c r="Z49" s="130">
        <f t="shared" si="10"/>
        <v>0.32053003603270963</v>
      </c>
      <c r="AA49" s="241">
        <f t="shared" si="11"/>
        <v>0.27543250856299889</v>
      </c>
    </row>
    <row r="50" spans="2:27" ht="13.5" thickBot="1" x14ac:dyDescent="0.25">
      <c r="B50" s="242">
        <f>'RT&amp;Temp'!D47</f>
        <v>19.899999999999999</v>
      </c>
      <c r="C50" s="243">
        <f t="shared" si="12"/>
        <v>0.62370299932167883</v>
      </c>
      <c r="D50" s="243">
        <f t="shared" si="12"/>
        <v>0.72352604987739078</v>
      </c>
      <c r="E50" s="243">
        <f t="shared" si="1"/>
        <v>0.82087054124572556</v>
      </c>
      <c r="F50" s="243">
        <f t="shared" si="1"/>
        <v>0.91340596790013706</v>
      </c>
      <c r="G50" s="243">
        <f t="shared" si="1"/>
        <v>0.99682812374161855</v>
      </c>
      <c r="H50" s="243">
        <f t="shared" si="1"/>
        <v>1.0635758027818421</v>
      </c>
      <c r="I50" s="243">
        <f t="shared" si="1"/>
        <v>1.1014733198178821</v>
      </c>
      <c r="J50" s="243">
        <f t="shared" si="1"/>
        <v>1.0938099055427337</v>
      </c>
      <c r="K50" s="244">
        <f t="shared" si="1"/>
        <v>1.0241092455788126</v>
      </c>
      <c r="R50" s="242">
        <f t="shared" si="2"/>
        <v>19.899999999999999</v>
      </c>
      <c r="S50" s="243">
        <f t="shared" si="3"/>
        <v>0.40561077406867341</v>
      </c>
      <c r="T50" s="243">
        <f t="shared" si="4"/>
        <v>0.404442932375283</v>
      </c>
      <c r="U50" s="243">
        <f t="shared" si="5"/>
        <v>0.40234787612783096</v>
      </c>
      <c r="V50" s="243">
        <f t="shared" si="6"/>
        <v>0.39861356932484049</v>
      </c>
      <c r="W50" s="243">
        <f t="shared" si="7"/>
        <v>0.39203319491024124</v>
      </c>
      <c r="X50" s="243">
        <f t="shared" si="8"/>
        <v>0.38066831790213407</v>
      </c>
      <c r="Y50" s="243">
        <f t="shared" si="9"/>
        <v>0.36170493505570711</v>
      </c>
      <c r="Z50" s="243">
        <f t="shared" si="10"/>
        <v>0.3318112365899451</v>
      </c>
      <c r="AA50" s="244">
        <f t="shared" si="11"/>
        <v>0.28866535392377296</v>
      </c>
    </row>
    <row r="51" spans="2:27" x14ac:dyDescent="0.2">
      <c r="B51" s="17"/>
    </row>
    <row r="52" spans="2:27" ht="15" thickBot="1" x14ac:dyDescent="0.25">
      <c r="I52" s="59" t="s">
        <v>237</v>
      </c>
      <c r="L52" t="s">
        <v>248</v>
      </c>
      <c r="O52" t="s">
        <v>235</v>
      </c>
    </row>
    <row r="53" spans="2:27" ht="13.5" thickBot="1" x14ac:dyDescent="0.25">
      <c r="J53" s="133" t="str">
        <f t="shared" ref="J53:S53" si="13">B41</f>
        <v>RT v VS -&gt;</v>
      </c>
      <c r="K53" s="125">
        <f t="shared" si="13"/>
        <v>30.6</v>
      </c>
      <c r="L53" s="126">
        <f t="shared" si="13"/>
        <v>35.6</v>
      </c>
      <c r="M53" s="126">
        <f t="shared" si="13"/>
        <v>40.6</v>
      </c>
      <c r="N53" s="126">
        <f t="shared" si="13"/>
        <v>45.6</v>
      </c>
      <c r="O53" s="127">
        <f t="shared" si="13"/>
        <v>50.6</v>
      </c>
      <c r="P53" s="126">
        <f t="shared" si="13"/>
        <v>55.6</v>
      </c>
      <c r="Q53" s="126">
        <f t="shared" si="13"/>
        <v>60.6</v>
      </c>
      <c r="R53" s="126">
        <f t="shared" si="13"/>
        <v>65.599999999999994</v>
      </c>
      <c r="S53" s="128">
        <f t="shared" si="13"/>
        <v>70.599999999999994</v>
      </c>
    </row>
    <row r="54" spans="2:27" x14ac:dyDescent="0.2">
      <c r="J54" s="129">
        <f t="shared" ref="J54:J62" si="14">B42</f>
        <v>3.9000000000000004</v>
      </c>
      <c r="K54" s="134">
        <f t="shared" ref="K54:K62" si="15">IF($B42&lt;1/(0.566*(1+1110*EXP(-1*0.187*$C$3))^(1/(1-2.83))),"",C42*$B42)</f>
        <v>4.5855216806113086</v>
      </c>
      <c r="L54" s="134">
        <f t="shared" ref="L54:L62" si="16">IF($B42&lt;1/(0.566*(1+1110*EXP(-1*0.187*$C$3))^(1/(1-2.83))),"",D42*$B42)</f>
        <v>5.2326250012642994</v>
      </c>
      <c r="M54" s="134">
        <f t="shared" ref="M54:M62" si="17">IF($B42&lt;1/(0.566*(1+1110*EXP(-1*0.187*$C$3))^(1/(1-2.83))),"",E42*$B42)</f>
        <v>5.7677822570054449</v>
      </c>
      <c r="N54" s="134">
        <f t="shared" ref="N54:N62" si="18">IF($B42&lt;1/(0.566*(1+1110*EXP(-1*0.187*$C$3))^(1/(1-2.83))),"",F42*$B42)</f>
        <v>6.1083081765214402</v>
      </c>
      <c r="O54" s="134">
        <f t="shared" ref="O54:O62" si="19">IF($B42&lt;1/(0.566*(1+1110*EXP(-1*0.187*$C$3))^(1/(1-2.83))),"",G42*$B42)</f>
        <v>6.143818133718792</v>
      </c>
      <c r="P54" s="134">
        <f t="shared" ref="P54:P62" si="20">IF($B42&lt;1/(0.566*(1+1110*EXP(-1*0.187*$C$3))^(1/(1-2.83))),"",H42*$B42)</f>
        <v>5.7738061517803789</v>
      </c>
      <c r="Q54" s="134">
        <f t="shared" ref="Q54:Q62" si="21">IF($B42&lt;1/(0.566*(1+1110*EXP(-1*0.187*$C$3))^(1/(1-2.83))),"",I42*$B42)</f>
        <v>4.9875127392761387</v>
      </c>
      <c r="R54" s="134">
        <f t="shared" ref="R54:R62" si="22">IF($B42&lt;1/(0.566*(1+1110*EXP(-1*0.187*$C$3))^(1/(1-2.83))),"",J42*$B42)</f>
        <v>3.9260401122593391</v>
      </c>
      <c r="S54" s="135">
        <f t="shared" ref="S54:S62" si="23">IF($B42&lt;1/(0.566*(1+1110*EXP(-1*0.187*$C$3))^(1/(1-2.83))),"",K42*$B42)</f>
        <v>2.829296442511259</v>
      </c>
    </row>
    <row r="55" spans="2:27" x14ac:dyDescent="0.2">
      <c r="J55" s="131">
        <f t="shared" si="14"/>
        <v>5.9</v>
      </c>
      <c r="K55" s="134">
        <f t="shared" si="15"/>
        <v>8.4308442217149615</v>
      </c>
      <c r="L55" s="134">
        <f t="shared" si="16"/>
        <v>9.698355679936622</v>
      </c>
      <c r="M55" s="134">
        <f t="shared" si="17"/>
        <v>10.840462303548417</v>
      </c>
      <c r="N55" s="134">
        <f t="shared" si="18"/>
        <v>11.752681558872634</v>
      </c>
      <c r="O55" s="134">
        <f t="shared" si="19"/>
        <v>12.270713629547343</v>
      </c>
      <c r="P55" s="134">
        <f t="shared" si="20"/>
        <v>12.181429098546507</v>
      </c>
      <c r="Q55" s="134">
        <f t="shared" si="21"/>
        <v>11.303215833688128</v>
      </c>
      <c r="R55" s="134">
        <f t="shared" si="22"/>
        <v>9.6433010080897308</v>
      </c>
      <c r="S55" s="135">
        <f t="shared" si="23"/>
        <v>7.5031943446081408</v>
      </c>
    </row>
    <row r="56" spans="2:27" x14ac:dyDescent="0.2">
      <c r="J56" s="131">
        <f t="shared" si="14"/>
        <v>7.9</v>
      </c>
      <c r="K56" s="134">
        <f t="shared" si="15"/>
        <v>10.006522644165349</v>
      </c>
      <c r="L56" s="134">
        <f t="shared" si="16"/>
        <v>11.549176199824275</v>
      </c>
      <c r="M56" s="134">
        <f t="shared" si="17"/>
        <v>12.984865535882689</v>
      </c>
      <c r="N56" s="134">
        <f t="shared" si="18"/>
        <v>14.22006578084414</v>
      </c>
      <c r="O56" s="134">
        <f t="shared" si="19"/>
        <v>15.09793692548992</v>
      </c>
      <c r="P56" s="134">
        <f t="shared" si="20"/>
        <v>15.388153546969194</v>
      </c>
      <c r="Q56" s="134">
        <f t="shared" si="21"/>
        <v>14.829364408640686</v>
      </c>
      <c r="R56" s="134">
        <f t="shared" si="22"/>
        <v>13.272679583589634</v>
      </c>
      <c r="S56" s="135">
        <f t="shared" si="23"/>
        <v>10.877340314468668</v>
      </c>
    </row>
    <row r="57" spans="2:27" x14ac:dyDescent="0.2">
      <c r="J57" s="131">
        <f t="shared" si="14"/>
        <v>9.9</v>
      </c>
      <c r="K57" s="134">
        <f t="shared" si="15"/>
        <v>10.86410359127448</v>
      </c>
      <c r="L57" s="134">
        <f t="shared" si="16"/>
        <v>12.561684982941527</v>
      </c>
      <c r="M57" s="134">
        <f t="shared" si="17"/>
        <v>14.168647586814114</v>
      </c>
      <c r="N57" s="134">
        <f t="shared" si="18"/>
        <v>15.603667889234606</v>
      </c>
      <c r="O57" s="134">
        <f t="shared" si="19"/>
        <v>16.725567565108324</v>
      </c>
      <c r="P57" s="134">
        <f t="shared" si="20"/>
        <v>17.313121385259912</v>
      </c>
      <c r="Q57" s="134">
        <f t="shared" si="21"/>
        <v>17.079796913807694</v>
      </c>
      <c r="R57" s="134">
        <f t="shared" si="22"/>
        <v>15.781293641358129</v>
      </c>
      <c r="S57" s="135">
        <f t="shared" si="23"/>
        <v>13.427718623918768</v>
      </c>
    </row>
    <row r="58" spans="2:27" x14ac:dyDescent="0.2">
      <c r="I58" t="s">
        <v>235</v>
      </c>
      <c r="J58" s="132">
        <f t="shared" si="14"/>
        <v>11.9</v>
      </c>
      <c r="K58" s="134">
        <f t="shared" si="15"/>
        <v>11.403382957823119</v>
      </c>
      <c r="L58" s="134">
        <f t="shared" si="16"/>
        <v>13.200270054404607</v>
      </c>
      <c r="M58" s="134">
        <f t="shared" si="17"/>
        <v>14.91917626653648</v>
      </c>
      <c r="N58" s="134">
        <f t="shared" si="18"/>
        <v>16.488969550348109</v>
      </c>
      <c r="O58" s="136">
        <f t="shared" si="19"/>
        <v>17.783462989684139</v>
      </c>
      <c r="P58" s="134">
        <f t="shared" si="20"/>
        <v>18.596822333723342</v>
      </c>
      <c r="Q58" s="134">
        <f t="shared" si="21"/>
        <v>18.640770160187419</v>
      </c>
      <c r="R58" s="134">
        <f t="shared" si="22"/>
        <v>17.618851346322941</v>
      </c>
      <c r="S58" s="135">
        <f t="shared" si="23"/>
        <v>15.423183400173549</v>
      </c>
    </row>
    <row r="59" spans="2:27" x14ac:dyDescent="0.2">
      <c r="J59" s="131">
        <f t="shared" si="14"/>
        <v>13.9</v>
      </c>
      <c r="K59" s="134">
        <f t="shared" si="15"/>
        <v>11.773833646733703</v>
      </c>
      <c r="L59" s="134">
        <f t="shared" si="16"/>
        <v>13.639782224559681</v>
      </c>
      <c r="M59" s="134">
        <f t="shared" si="17"/>
        <v>15.437509107861596</v>
      </c>
      <c r="N59" s="134">
        <f t="shared" si="18"/>
        <v>17.104085583761606</v>
      </c>
      <c r="O59" s="134">
        <f t="shared" si="19"/>
        <v>18.526210268051354</v>
      </c>
      <c r="P59" s="134">
        <f t="shared" si="20"/>
        <v>19.513942215081737</v>
      </c>
      <c r="Q59" s="134">
        <f t="shared" si="21"/>
        <v>19.78703811971695</v>
      </c>
      <c r="R59" s="134">
        <f t="shared" si="22"/>
        <v>19.022849591164718</v>
      </c>
      <c r="S59" s="135">
        <f t="shared" si="23"/>
        <v>17.027072861892687</v>
      </c>
    </row>
    <row r="60" spans="2:27" x14ac:dyDescent="0.2">
      <c r="J60" s="131">
        <f t="shared" si="14"/>
        <v>15.9</v>
      </c>
      <c r="K60" s="134">
        <f t="shared" si="15"/>
        <v>12.044006427753565</v>
      </c>
      <c r="L60" s="134">
        <f t="shared" si="16"/>
        <v>13.960757053299764</v>
      </c>
      <c r="M60" s="134">
        <f t="shared" si="17"/>
        <v>15.816964687849289</v>
      </c>
      <c r="N60" s="134">
        <f t="shared" si="18"/>
        <v>17.556327830934634</v>
      </c>
      <c r="O60" s="134">
        <f t="shared" si="19"/>
        <v>19.076377289714735</v>
      </c>
      <c r="P60" s="134">
        <f t="shared" si="20"/>
        <v>20.201886406674312</v>
      </c>
      <c r="Q60" s="134">
        <f t="shared" si="21"/>
        <v>20.664484938468892</v>
      </c>
      <c r="R60" s="134">
        <f t="shared" si="22"/>
        <v>20.13053978521177</v>
      </c>
      <c r="S60" s="135">
        <f t="shared" si="23"/>
        <v>18.344348371314489</v>
      </c>
    </row>
    <row r="61" spans="2:27" x14ac:dyDescent="0.2">
      <c r="J61" s="131">
        <f t="shared" si="14"/>
        <v>17.899999999999999</v>
      </c>
      <c r="K61" s="134">
        <f t="shared" si="15"/>
        <v>12.249764019978659</v>
      </c>
      <c r="L61" s="134">
        <f t="shared" si="16"/>
        <v>14.205450878956032</v>
      </c>
      <c r="M61" s="134">
        <f t="shared" si="17"/>
        <v>16.106763395636062</v>
      </c>
      <c r="N61" s="134">
        <f t="shared" si="18"/>
        <v>17.902823042542799</v>
      </c>
      <c r="O61" s="134">
        <f t="shared" si="19"/>
        <v>19.500267097259361</v>
      </c>
      <c r="P61" s="134">
        <f t="shared" si="20"/>
        <v>20.737015919634</v>
      </c>
      <c r="Q61" s="134">
        <f t="shared" si="21"/>
        <v>21.357751067626843</v>
      </c>
      <c r="R61" s="134">
        <f t="shared" si="22"/>
        <v>21.026770363745751</v>
      </c>
      <c r="S61" s="135">
        <f t="shared" si="23"/>
        <v>19.445535104547719</v>
      </c>
    </row>
    <row r="62" spans="2:27" ht="13.5" thickBot="1" x14ac:dyDescent="0.25">
      <c r="J62" s="242">
        <f t="shared" si="14"/>
        <v>19.899999999999999</v>
      </c>
      <c r="K62" s="137">
        <f t="shared" si="15"/>
        <v>12.411689686501408</v>
      </c>
      <c r="L62" s="137">
        <f t="shared" si="16"/>
        <v>14.398168392560075</v>
      </c>
      <c r="M62" s="137">
        <f t="shared" si="17"/>
        <v>16.335323770789937</v>
      </c>
      <c r="N62" s="137">
        <f t="shared" si="18"/>
        <v>18.176778761212727</v>
      </c>
      <c r="O62" s="137">
        <f t="shared" si="19"/>
        <v>19.836879662458209</v>
      </c>
      <c r="P62" s="137">
        <f t="shared" si="20"/>
        <v>21.165158475358655</v>
      </c>
      <c r="Q62" s="137">
        <f t="shared" si="21"/>
        <v>21.919319064375852</v>
      </c>
      <c r="R62" s="137">
        <f t="shared" si="22"/>
        <v>21.766817120300399</v>
      </c>
      <c r="S62" s="138">
        <f t="shared" si="23"/>
        <v>20.379773987018368</v>
      </c>
    </row>
  </sheetData>
  <sheetProtection sheet="1" objects="1" scenarios="1"/>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9" workbookViewId="0"/>
  </sheetViews>
  <sheetFormatPr defaultRowHeight="12.75" x14ac:dyDescent="0.2"/>
  <cols>
    <col min="1" max="1" width="11.28515625" bestFit="1" customWidth="1"/>
  </cols>
  <sheetData>
    <row r="1" spans="1:10" ht="18" x14ac:dyDescent="0.25">
      <c r="A1" s="15" t="s">
        <v>258</v>
      </c>
      <c r="I1" s="212" t="s">
        <v>279</v>
      </c>
    </row>
    <row r="2" spans="1:10" ht="13.5" thickBot="1" x14ac:dyDescent="0.25">
      <c r="A2" t="s">
        <v>24</v>
      </c>
      <c r="J2" t="s">
        <v>25</v>
      </c>
    </row>
    <row r="3" spans="1:10" ht="15" thickBot="1" x14ac:dyDescent="0.25">
      <c r="A3" s="59"/>
      <c r="B3" s="122" t="s">
        <v>255</v>
      </c>
      <c r="C3" s="187">
        <f>'Temp&amp;RT'!B43</f>
        <v>50.599999999999994</v>
      </c>
      <c r="D3" s="59" t="s">
        <v>256</v>
      </c>
      <c r="E3" s="246" t="s">
        <v>239</v>
      </c>
      <c r="F3" s="248"/>
      <c r="G3" s="246" t="s">
        <v>240</v>
      </c>
      <c r="H3" s="248"/>
      <c r="I3" s="246" t="s">
        <v>241</v>
      </c>
      <c r="J3" s="248"/>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2" t="s">
        <v>22</v>
      </c>
      <c r="H34" s="187">
        <f>Calculator!$U$15</f>
        <v>0.45</v>
      </c>
      <c r="I34" s="187" t="s">
        <v>23</v>
      </c>
      <c r="J34" s="59" t="str">
        <f>VLOOKUP(Calculator!$T$15,Calculator!$S$17:$T$31,2)</f>
        <v>Piggery</v>
      </c>
      <c r="K34" s="246" t="s">
        <v>244</v>
      </c>
      <c r="L34" s="248"/>
    </row>
    <row r="35" spans="1:12" x14ac:dyDescent="0.2">
      <c r="F35" s="60"/>
      <c r="G35" s="60"/>
      <c r="H35" s="60"/>
      <c r="I35" s="60"/>
      <c r="J35" s="60"/>
      <c r="K35" s="60"/>
    </row>
    <row r="40" spans="1:12" ht="15" thickBot="1" x14ac:dyDescent="0.25">
      <c r="A40" s="59" t="s">
        <v>234</v>
      </c>
      <c r="D40" s="17" t="s">
        <v>247</v>
      </c>
      <c r="G40" t="s">
        <v>235</v>
      </c>
    </row>
    <row r="41" spans="1:12" ht="13.5" thickBot="1" x14ac:dyDescent="0.25">
      <c r="B41" s="124" t="s">
        <v>254</v>
      </c>
      <c r="C41" s="139">
        <f>'Temp&amp;RT'!$C$39</f>
        <v>15</v>
      </c>
      <c r="D41" s="139">
        <f>'Temp&amp;RT'!C40</f>
        <v>20</v>
      </c>
      <c r="E41" s="139">
        <f>'Temp&amp;RT'!C41</f>
        <v>25</v>
      </c>
      <c r="F41" s="139">
        <f>'Temp&amp;RT'!C42</f>
        <v>30</v>
      </c>
      <c r="G41" s="140">
        <f>'Temp&amp;RT'!C43</f>
        <v>35</v>
      </c>
      <c r="H41" s="139">
        <f>'Temp&amp;RT'!C44</f>
        <v>40</v>
      </c>
      <c r="I41" s="139">
        <f>'Temp&amp;RT'!C45</f>
        <v>45</v>
      </c>
      <c r="J41" s="139">
        <f>'Temp&amp;RT'!C46</f>
        <v>50</v>
      </c>
      <c r="K41" s="139">
        <f>'Temp&amp;RT'!C47</f>
        <v>55</v>
      </c>
    </row>
    <row r="42" spans="1:12" x14ac:dyDescent="0.2">
      <c r="B42" s="131">
        <f>'RT&amp;Temp'!D39</f>
        <v>3.9000000000000004</v>
      </c>
      <c r="C42" s="130" t="str">
        <f>IF($B42&lt;1/(0.566*(1+1110*EXP(-1*0.187*C$41))^(1/(1-2.83))),"",$H$34*$C$3/$B42*(1-(0.6+0.0006*EXP(0.1185*$C$3))/(IF(C$41&lt;5,0,IF(C$41&gt;60,NA(),0.566*(1+1110*EXP(-1*0.187*C$41))^(1/(1-2.83))))*$B42-1+(0.6+0.0006*EXP(0.1185*$C$3)))))</f>
        <v/>
      </c>
      <c r="D42" s="130" t="str">
        <f t="shared" ref="D42:K50" si="0">IF($B42&lt;1/(0.566*(1+1110*EXP(-1*0.187*D$41))^(1/(1-2.83))),"",$H$34*$C$3/$B42*(1-(0.6+0.0006*EXP(0.1185*$C$3))/(IF(D$41&lt;5,0,IF(D$41&gt;60,NA(),0.566*(1+1110*EXP(-1*0.187*D$41))^(1/(1-2.83))))*$B42-1+(0.6+0.0006*EXP(0.1185*$C$3)))))</f>
        <v/>
      </c>
      <c r="E42" s="130" t="str">
        <f t="shared" si="0"/>
        <v/>
      </c>
      <c r="F42" s="130" t="str">
        <f t="shared" si="0"/>
        <v/>
      </c>
      <c r="G42" s="130">
        <f t="shared" si="0"/>
        <v>1.5753379830048198</v>
      </c>
      <c r="H42" s="130">
        <f t="shared" si="0"/>
        <v>2.6358412650394301</v>
      </c>
      <c r="I42" s="130">
        <f t="shared" si="0"/>
        <v>3.1081642023212512</v>
      </c>
      <c r="J42" s="130">
        <f t="shared" si="0"/>
        <v>3.3072565783511734</v>
      </c>
      <c r="K42" s="130">
        <f t="shared" si="0"/>
        <v>3.3880763723789791</v>
      </c>
    </row>
    <row r="43" spans="1:12" x14ac:dyDescent="0.2">
      <c r="B43" s="131">
        <f>'RT&amp;Temp'!D40</f>
        <v>5.9</v>
      </c>
      <c r="C43" s="130" t="str">
        <f t="shared" ref="C43:C50" si="1">IF($B43&lt;1/(0.566*(1+1110*EXP(-1*0.187*C$41))^(1/(1-2.83))),"",$H$34*$C$3/$B43*(1-(0.6+0.0006*EXP(0.1185*$C$3))/(IF(C$41&lt;5,0,IF(C$41&gt;60,NA(),0.566*(1+1110*EXP(-1*0.187*C$41))^(1/(1-2.83))))*$B43-1+(0.6+0.0006*EXP(0.1185*$C$3)))))</f>
        <v/>
      </c>
      <c r="D43" s="130" t="str">
        <f t="shared" si="0"/>
        <v/>
      </c>
      <c r="E43" s="130" t="str">
        <f t="shared" si="0"/>
        <v/>
      </c>
      <c r="F43" s="130">
        <f t="shared" si="0"/>
        <v>1.1928797240613624</v>
      </c>
      <c r="G43" s="130">
        <f t="shared" si="0"/>
        <v>2.079781971109719</v>
      </c>
      <c r="H43" s="130">
        <f t="shared" si="0"/>
        <v>2.5074425390652308</v>
      </c>
      <c r="I43" s="130">
        <f t="shared" si="0"/>
        <v>2.7010213223590989</v>
      </c>
      <c r="J43" s="130">
        <f t="shared" si="0"/>
        <v>2.783202791535266</v>
      </c>
      <c r="K43" s="130">
        <f t="shared" si="0"/>
        <v>2.8166633692324505</v>
      </c>
    </row>
    <row r="44" spans="1:12" x14ac:dyDescent="0.2">
      <c r="B44" s="131">
        <f>'RT&amp;Temp'!D41</f>
        <v>7.9</v>
      </c>
      <c r="C44" s="130" t="str">
        <f t="shared" si="1"/>
        <v/>
      </c>
      <c r="D44" s="130" t="str">
        <f t="shared" si="0"/>
        <v/>
      </c>
      <c r="E44" s="130">
        <f t="shared" si="0"/>
        <v>0.52088703011743609</v>
      </c>
      <c r="F44" s="130">
        <f t="shared" si="0"/>
        <v>1.442603245088323</v>
      </c>
      <c r="G44" s="130">
        <f t="shared" si="0"/>
        <v>1.9111312563911291</v>
      </c>
      <c r="H44" s="130">
        <f t="shared" si="0"/>
        <v>2.1406729778933618</v>
      </c>
      <c r="I44" s="130">
        <f t="shared" si="0"/>
        <v>2.2453626001602363</v>
      </c>
      <c r="J44" s="130">
        <f t="shared" si="0"/>
        <v>2.2899571506063294</v>
      </c>
      <c r="K44" s="130">
        <f t="shared" si="0"/>
        <v>2.3081397210884962</v>
      </c>
    </row>
    <row r="45" spans="1:12" x14ac:dyDescent="0.2">
      <c r="B45" s="131">
        <f>'RT&amp;Temp'!D42</f>
        <v>9.9</v>
      </c>
      <c r="C45" s="130" t="str">
        <f t="shared" si="1"/>
        <v/>
      </c>
      <c r="D45" s="130" t="str">
        <f t="shared" si="0"/>
        <v/>
      </c>
      <c r="E45" s="130">
        <f t="shared" si="0"/>
        <v>0.84191905746583817</v>
      </c>
      <c r="F45" s="130">
        <f t="shared" si="0"/>
        <v>1.4004028847061281</v>
      </c>
      <c r="G45" s="130">
        <f t="shared" si="0"/>
        <v>1.6894512692028614</v>
      </c>
      <c r="H45" s="130">
        <f t="shared" si="0"/>
        <v>1.8323582473978357</v>
      </c>
      <c r="I45" s="130">
        <f t="shared" si="0"/>
        <v>1.8978214180070652</v>
      </c>
      <c r="J45" s="130">
        <f t="shared" si="0"/>
        <v>1.9257613965889901</v>
      </c>
      <c r="K45" s="130">
        <f t="shared" si="0"/>
        <v>1.9371627828212592</v>
      </c>
    </row>
    <row r="46" spans="1:12" x14ac:dyDescent="0.2">
      <c r="A46" t="s">
        <v>235</v>
      </c>
      <c r="B46" s="132">
        <f>'RT&amp;Temp'!D43</f>
        <v>11.9</v>
      </c>
      <c r="C46" s="130" t="str">
        <f t="shared" si="1"/>
        <v/>
      </c>
      <c r="D46" s="130">
        <f t="shared" si="0"/>
        <v>0.21066357767362723</v>
      </c>
      <c r="E46" s="130">
        <f t="shared" si="0"/>
        <v>0.92419971836569759</v>
      </c>
      <c r="F46" s="130">
        <f t="shared" si="0"/>
        <v>1.2984598128043203</v>
      </c>
      <c r="G46" s="168">
        <f t="shared" si="0"/>
        <v>1.4944086545953059</v>
      </c>
      <c r="H46" s="130">
        <f t="shared" si="0"/>
        <v>1.5918606711637793</v>
      </c>
      <c r="I46" s="130">
        <f t="shared" si="0"/>
        <v>1.63662941157024</v>
      </c>
      <c r="J46" s="130">
        <f t="shared" si="0"/>
        <v>1.6557614214676146</v>
      </c>
      <c r="K46" s="130">
        <f t="shared" si="0"/>
        <v>1.6635727838635299</v>
      </c>
    </row>
    <row r="47" spans="1:12" x14ac:dyDescent="0.2">
      <c r="B47" s="131">
        <f>'RT&amp;Temp'!D44</f>
        <v>13.9</v>
      </c>
      <c r="C47" s="130" t="str">
        <f t="shared" si="1"/>
        <v/>
      </c>
      <c r="D47" s="130">
        <f t="shared" si="0"/>
        <v>0.41957772885048911</v>
      </c>
      <c r="E47" s="130">
        <f t="shared" si="0"/>
        <v>0.92312568692379571</v>
      </c>
      <c r="F47" s="130">
        <f t="shared" si="0"/>
        <v>1.19128963418298</v>
      </c>
      <c r="G47" s="130">
        <f t="shared" si="0"/>
        <v>1.3328208825936225</v>
      </c>
      <c r="H47" s="130">
        <f t="shared" si="0"/>
        <v>1.4035011985843724</v>
      </c>
      <c r="I47" s="130">
        <f t="shared" si="0"/>
        <v>1.4360365547018739</v>
      </c>
      <c r="J47" s="130">
        <f t="shared" si="0"/>
        <v>1.4499531779776804</v>
      </c>
      <c r="K47" s="130">
        <f t="shared" si="0"/>
        <v>1.4556373295929128</v>
      </c>
    </row>
    <row r="48" spans="1:12" x14ac:dyDescent="0.2">
      <c r="B48" s="131">
        <f>'RT&amp;Temp'!D45</f>
        <v>15.9</v>
      </c>
      <c r="C48" s="130" t="str">
        <f t="shared" si="1"/>
        <v/>
      </c>
      <c r="D48" s="130">
        <f t="shared" si="0"/>
        <v>0.51697181228969069</v>
      </c>
      <c r="E48" s="130">
        <f t="shared" si="0"/>
        <v>0.89124289976527571</v>
      </c>
      <c r="F48" s="130">
        <f t="shared" si="0"/>
        <v>1.0927772838155769</v>
      </c>
      <c r="G48" s="130">
        <f t="shared" si="0"/>
        <v>1.1997721565858324</v>
      </c>
      <c r="H48" s="130">
        <f t="shared" si="0"/>
        <v>1.2533690150441377</v>
      </c>
      <c r="I48" s="130">
        <f t="shared" si="0"/>
        <v>1.278077392397617</v>
      </c>
      <c r="J48" s="130">
        <f t="shared" si="0"/>
        <v>1.2886532173710219</v>
      </c>
      <c r="K48" s="130">
        <f t="shared" si="0"/>
        <v>1.2929740671343632</v>
      </c>
    </row>
    <row r="49" spans="1:11" x14ac:dyDescent="0.2">
      <c r="B49" s="131">
        <f>'RT&amp;Temp'!D46</f>
        <v>17.899999999999999</v>
      </c>
      <c r="C49" s="130">
        <f t="shared" si="1"/>
        <v>1.2919397441098072E-2</v>
      </c>
      <c r="D49" s="130">
        <f t="shared" si="0"/>
        <v>0.55964001225603</v>
      </c>
      <c r="E49" s="130">
        <f t="shared" si="0"/>
        <v>0.84871361073296148</v>
      </c>
      <c r="F49" s="130">
        <f t="shared" si="0"/>
        <v>1.0056859334229682</v>
      </c>
      <c r="G49" s="130">
        <f t="shared" si="0"/>
        <v>1.0894003964949366</v>
      </c>
      <c r="H49" s="130">
        <f t="shared" si="0"/>
        <v>1.131434408482024</v>
      </c>
      <c r="I49" s="130">
        <f t="shared" si="0"/>
        <v>1.1508345775446716</v>
      </c>
      <c r="J49" s="130">
        <f t="shared" si="0"/>
        <v>1.1591426609963866</v>
      </c>
      <c r="K49" s="130">
        <f t="shared" si="0"/>
        <v>1.1625377479686247</v>
      </c>
    </row>
    <row r="50" spans="1:11" x14ac:dyDescent="0.2">
      <c r="B50" s="131">
        <f>'RT&amp;Temp'!D47</f>
        <v>19.899999999999999</v>
      </c>
      <c r="C50" s="130">
        <f t="shared" si="1"/>
        <v>0.14424164402153863</v>
      </c>
      <c r="D50" s="130">
        <f t="shared" si="0"/>
        <v>0.57386375276242707</v>
      </c>
      <c r="E50" s="130">
        <f t="shared" si="0"/>
        <v>0.80383828024901494</v>
      </c>
      <c r="F50" s="130">
        <f t="shared" si="0"/>
        <v>0.9295467397367444</v>
      </c>
      <c r="G50" s="130">
        <f t="shared" si="0"/>
        <v>0.99682812374161855</v>
      </c>
      <c r="H50" s="130">
        <f t="shared" si="0"/>
        <v>1.0306741619715789</v>
      </c>
      <c r="I50" s="130">
        <f t="shared" si="0"/>
        <v>1.0463095908689115</v>
      </c>
      <c r="J50" s="130">
        <f t="shared" si="0"/>
        <v>1.053008196151884</v>
      </c>
      <c r="K50" s="130">
        <f t="shared" si="0"/>
        <v>1.0557460493998676</v>
      </c>
    </row>
    <row r="51" spans="1:11" x14ac:dyDescent="0.2">
      <c r="B51" s="17"/>
    </row>
    <row r="52" spans="1:11" ht="15" thickBot="1" x14ac:dyDescent="0.25">
      <c r="A52" s="59" t="s">
        <v>237</v>
      </c>
      <c r="C52" t="s">
        <v>248</v>
      </c>
      <c r="G52" t="s">
        <v>235</v>
      </c>
    </row>
    <row r="53" spans="1:11" ht="13.5" thickBot="1" x14ac:dyDescent="0.25">
      <c r="B53" s="133" t="str">
        <f t="shared" ref="B53:K53" si="2">B41</f>
        <v>RT v Temp -&gt;</v>
      </c>
      <c r="C53" s="125">
        <f t="shared" si="2"/>
        <v>15</v>
      </c>
      <c r="D53" s="126">
        <f t="shared" si="2"/>
        <v>20</v>
      </c>
      <c r="E53" s="126">
        <f t="shared" si="2"/>
        <v>25</v>
      </c>
      <c r="F53" s="126">
        <f t="shared" si="2"/>
        <v>30</v>
      </c>
      <c r="G53" s="127">
        <f t="shared" si="2"/>
        <v>35</v>
      </c>
      <c r="H53" s="126">
        <f t="shared" si="2"/>
        <v>40</v>
      </c>
      <c r="I53" s="126">
        <f t="shared" si="2"/>
        <v>45</v>
      </c>
      <c r="J53" s="126">
        <f t="shared" si="2"/>
        <v>50</v>
      </c>
      <c r="K53" s="128">
        <f t="shared" si="2"/>
        <v>55</v>
      </c>
    </row>
    <row r="54" spans="1:11" x14ac:dyDescent="0.2">
      <c r="B54" s="129">
        <f t="shared" ref="B54:B62" si="3">B42</f>
        <v>3.9000000000000004</v>
      </c>
      <c r="C54" s="134" t="str">
        <f t="shared" ref="C54:K54" si="4">IF($B42&lt;1/(0.566*(1+1110*EXP(-1*0.187*C$41))^(1/(1-2.83))),"",C42*$B42)</f>
        <v/>
      </c>
      <c r="D54" s="134" t="str">
        <f t="shared" si="4"/>
        <v/>
      </c>
      <c r="E54" s="134" t="str">
        <f t="shared" si="4"/>
        <v/>
      </c>
      <c r="F54" s="134" t="str">
        <f t="shared" si="4"/>
        <v/>
      </c>
      <c r="G54" s="134">
        <f t="shared" si="4"/>
        <v>6.1438181337187974</v>
      </c>
      <c r="H54" s="134">
        <f t="shared" si="4"/>
        <v>10.279780933653779</v>
      </c>
      <c r="I54" s="134">
        <f t="shared" si="4"/>
        <v>12.121840389052881</v>
      </c>
      <c r="J54" s="134">
        <f t="shared" si="4"/>
        <v>12.898300655569578</v>
      </c>
      <c r="K54" s="134">
        <f t="shared" si="4"/>
        <v>13.213497852278019</v>
      </c>
    </row>
    <row r="55" spans="1:11" x14ac:dyDescent="0.2">
      <c r="B55" s="131">
        <f t="shared" si="3"/>
        <v>5.9</v>
      </c>
      <c r="C55" s="134" t="str">
        <f t="shared" ref="C55:K55" si="5">IF($B43&lt;1/(0.566*(1+1110*EXP(-1*0.187*C$41))^(1/(1-2.83))),"",C43*$B43)</f>
        <v/>
      </c>
      <c r="D55" s="134" t="str">
        <f t="shared" si="5"/>
        <v/>
      </c>
      <c r="E55" s="134" t="str">
        <f t="shared" si="5"/>
        <v/>
      </c>
      <c r="F55" s="134">
        <f t="shared" si="5"/>
        <v>7.0379903719620387</v>
      </c>
      <c r="G55" s="134">
        <f t="shared" si="5"/>
        <v>12.270713629547343</v>
      </c>
      <c r="H55" s="134">
        <f t="shared" si="5"/>
        <v>14.793910980484863</v>
      </c>
      <c r="I55" s="134">
        <f t="shared" si="5"/>
        <v>15.936025801918685</v>
      </c>
      <c r="J55" s="134">
        <f t="shared" si="5"/>
        <v>16.420896470058072</v>
      </c>
      <c r="K55" s="134">
        <f t="shared" si="5"/>
        <v>16.618313878471458</v>
      </c>
    </row>
    <row r="56" spans="1:11" x14ac:dyDescent="0.2">
      <c r="B56" s="131">
        <f t="shared" si="3"/>
        <v>7.9</v>
      </c>
      <c r="C56" s="134" t="str">
        <f t="shared" ref="C56:K56" si="6">IF($B44&lt;1/(0.566*(1+1110*EXP(-1*0.187*C$41))^(1/(1-2.83))),"",C44*$B44)</f>
        <v/>
      </c>
      <c r="D56" s="134" t="str">
        <f t="shared" si="6"/>
        <v/>
      </c>
      <c r="E56" s="134">
        <f t="shared" si="6"/>
        <v>4.1150075379277453</v>
      </c>
      <c r="F56" s="134">
        <f t="shared" si="6"/>
        <v>11.396565636197753</v>
      </c>
      <c r="G56" s="134">
        <f t="shared" si="6"/>
        <v>15.09793692548992</v>
      </c>
      <c r="H56" s="134">
        <f t="shared" si="6"/>
        <v>16.911316525357559</v>
      </c>
      <c r="I56" s="134">
        <f t="shared" si="6"/>
        <v>17.738364541265867</v>
      </c>
      <c r="J56" s="134">
        <f t="shared" si="6"/>
        <v>18.090661489790005</v>
      </c>
      <c r="K56" s="134">
        <f t="shared" si="6"/>
        <v>18.234303796599121</v>
      </c>
    </row>
    <row r="57" spans="1:11" x14ac:dyDescent="0.2">
      <c r="B57" s="131">
        <f t="shared" si="3"/>
        <v>9.9</v>
      </c>
      <c r="C57" s="134" t="str">
        <f t="shared" ref="C57:K57" si="7">IF($B45&lt;1/(0.566*(1+1110*EXP(-1*0.187*C$41))^(1/(1-2.83))),"",C45*$B45)</f>
        <v/>
      </c>
      <c r="D57" s="134" t="str">
        <f t="shared" si="7"/>
        <v/>
      </c>
      <c r="E57" s="134">
        <f t="shared" si="7"/>
        <v>8.3349986689117976</v>
      </c>
      <c r="F57" s="134">
        <f t="shared" si="7"/>
        <v>13.863988558590668</v>
      </c>
      <c r="G57" s="134">
        <f t="shared" si="7"/>
        <v>16.725567565108328</v>
      </c>
      <c r="H57" s="134">
        <f t="shared" si="7"/>
        <v>18.140346649238573</v>
      </c>
      <c r="I57" s="134">
        <f t="shared" si="7"/>
        <v>18.788432038269946</v>
      </c>
      <c r="J57" s="134">
        <f t="shared" si="7"/>
        <v>19.065037826231002</v>
      </c>
      <c r="K57" s="134">
        <f t="shared" si="7"/>
        <v>19.177911549930467</v>
      </c>
    </row>
    <row r="58" spans="1:11" x14ac:dyDescent="0.2">
      <c r="A58" t="s">
        <v>235</v>
      </c>
      <c r="B58" s="132">
        <f t="shared" si="3"/>
        <v>11.9</v>
      </c>
      <c r="C58" s="134" t="str">
        <f t="shared" ref="C58:K58" si="8">IF($B46&lt;1/(0.566*(1+1110*EXP(-1*0.187*C$41))^(1/(1-2.83))),"",C46*$B46)</f>
        <v/>
      </c>
      <c r="D58" s="134">
        <f t="shared" si="8"/>
        <v>2.5068965743161642</v>
      </c>
      <c r="E58" s="134">
        <f t="shared" si="8"/>
        <v>10.997976648551802</v>
      </c>
      <c r="F58" s="134">
        <f t="shared" si="8"/>
        <v>15.451671772371412</v>
      </c>
      <c r="G58" s="134">
        <f t="shared" si="8"/>
        <v>17.783462989684139</v>
      </c>
      <c r="H58" s="134">
        <f t="shared" si="8"/>
        <v>18.943141986848975</v>
      </c>
      <c r="I58" s="134">
        <f t="shared" si="8"/>
        <v>19.475889997685858</v>
      </c>
      <c r="J58" s="134">
        <f t="shared" si="8"/>
        <v>19.703560915464614</v>
      </c>
      <c r="K58" s="134">
        <f t="shared" si="8"/>
        <v>19.796516127976005</v>
      </c>
    </row>
    <row r="59" spans="1:11" x14ac:dyDescent="0.2">
      <c r="B59" s="131">
        <f t="shared" si="3"/>
        <v>13.9</v>
      </c>
      <c r="C59" s="134" t="str">
        <f t="shared" ref="C59:K59" si="9">IF($B47&lt;1/(0.566*(1+1110*EXP(-1*0.187*C$41))^(1/(1-2.83))),"",C47*$B47)</f>
        <v/>
      </c>
      <c r="D59" s="134">
        <f t="shared" si="9"/>
        <v>5.832130431021799</v>
      </c>
      <c r="E59" s="134">
        <f t="shared" si="9"/>
        <v>12.831447048240761</v>
      </c>
      <c r="F59" s="134">
        <f t="shared" si="9"/>
        <v>16.558925915143423</v>
      </c>
      <c r="G59" s="134">
        <f t="shared" si="9"/>
        <v>18.526210268051354</v>
      </c>
      <c r="H59" s="134">
        <f t="shared" si="9"/>
        <v>19.508666660322778</v>
      </c>
      <c r="I59" s="134">
        <f t="shared" si="9"/>
        <v>19.960908110356048</v>
      </c>
      <c r="J59" s="134">
        <f t="shared" si="9"/>
        <v>20.154349173889759</v>
      </c>
      <c r="K59" s="134">
        <f t="shared" si="9"/>
        <v>20.233358881341488</v>
      </c>
    </row>
    <row r="60" spans="1:11" x14ac:dyDescent="0.2">
      <c r="B60" s="131">
        <f t="shared" si="3"/>
        <v>15.9</v>
      </c>
      <c r="C60" s="134" t="str">
        <f t="shared" ref="C60:K60" si="10">IF($B48&lt;1/(0.566*(1+1110*EXP(-1*0.187*C$41))^(1/(1-2.83))),"",C48*$B48)</f>
        <v/>
      </c>
      <c r="D60" s="134">
        <f t="shared" si="10"/>
        <v>8.2198518154060825</v>
      </c>
      <c r="E60" s="134">
        <f t="shared" si="10"/>
        <v>14.170762106267883</v>
      </c>
      <c r="F60" s="134">
        <f t="shared" si="10"/>
        <v>17.375158812667674</v>
      </c>
      <c r="G60" s="134">
        <f t="shared" si="10"/>
        <v>19.076377289714735</v>
      </c>
      <c r="H60" s="134">
        <f t="shared" si="10"/>
        <v>19.928567339201788</v>
      </c>
      <c r="I60" s="134">
        <f t="shared" si="10"/>
        <v>20.321430539122112</v>
      </c>
      <c r="J60" s="134">
        <f t="shared" si="10"/>
        <v>20.489586156199248</v>
      </c>
      <c r="K60" s="134">
        <f t="shared" si="10"/>
        <v>20.558287667436375</v>
      </c>
    </row>
    <row r="61" spans="1:11" x14ac:dyDescent="0.2">
      <c r="B61" s="131">
        <f t="shared" si="3"/>
        <v>17.899999999999999</v>
      </c>
      <c r="C61" s="134">
        <f t="shared" ref="C61:K61" si="11">IF($B49&lt;1/(0.566*(1+1110*EXP(-1*0.187*C$41))^(1/(1-2.83))),"",C49*$B49)</f>
        <v>0.23125721419565548</v>
      </c>
      <c r="D61" s="134">
        <f t="shared" si="11"/>
        <v>10.017556219382936</v>
      </c>
      <c r="E61" s="134">
        <f t="shared" si="11"/>
        <v>15.191973632120009</v>
      </c>
      <c r="F61" s="134">
        <f t="shared" si="11"/>
        <v>18.00177820827113</v>
      </c>
      <c r="G61" s="134">
        <f t="shared" si="11"/>
        <v>19.500267097259364</v>
      </c>
      <c r="H61" s="134">
        <f t="shared" si="11"/>
        <v>20.252675911828227</v>
      </c>
      <c r="I61" s="134">
        <f t="shared" si="11"/>
        <v>20.599938938049618</v>
      </c>
      <c r="J61" s="134">
        <f t="shared" si="11"/>
        <v>20.748653631835317</v>
      </c>
      <c r="K61" s="134">
        <f t="shared" si="11"/>
        <v>20.809425688638381</v>
      </c>
    </row>
    <row r="62" spans="1:11" x14ac:dyDescent="0.2">
      <c r="B62" s="131">
        <f t="shared" si="3"/>
        <v>19.899999999999999</v>
      </c>
      <c r="C62" s="134">
        <f t="shared" ref="C62:K62" si="12">IF($B50&lt;1/(0.566*(1+1110*EXP(-1*0.187*C$41))^(1/(1-2.83))),"",C50*$B50)</f>
        <v>2.8704087160286185</v>
      </c>
      <c r="D62" s="134">
        <f t="shared" si="12"/>
        <v>11.419888679972297</v>
      </c>
      <c r="E62" s="134">
        <f t="shared" si="12"/>
        <v>15.996381776955396</v>
      </c>
      <c r="F62" s="134">
        <f t="shared" si="12"/>
        <v>18.497980120761213</v>
      </c>
      <c r="G62" s="134">
        <f t="shared" si="12"/>
        <v>19.836879662458209</v>
      </c>
      <c r="H62" s="134">
        <f t="shared" si="12"/>
        <v>20.510415823234418</v>
      </c>
      <c r="I62" s="134">
        <f t="shared" si="12"/>
        <v>20.821560858291338</v>
      </c>
      <c r="J62" s="134">
        <f t="shared" si="12"/>
        <v>20.95486310342249</v>
      </c>
      <c r="K62" s="134">
        <f t="shared" si="12"/>
        <v>21.009346383057363</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zoomScale="95" workbookViewId="0"/>
  </sheetViews>
  <sheetFormatPr defaultRowHeight="12.75" x14ac:dyDescent="0.2"/>
  <sheetData>
    <row r="1" spans="1:11" ht="13.5" thickBot="1" x14ac:dyDescent="0.25">
      <c r="A1" s="14" t="s">
        <v>12</v>
      </c>
      <c r="D1" s="212" t="s">
        <v>279</v>
      </c>
      <c r="I1" s="246" t="s">
        <v>211</v>
      </c>
      <c r="J1" s="247"/>
      <c r="K1" s="248"/>
    </row>
    <row r="2" spans="1:11" ht="15" thickBot="1" x14ac:dyDescent="0.25">
      <c r="A2" s="1" t="s">
        <v>13</v>
      </c>
      <c r="B2" t="s">
        <v>14</v>
      </c>
      <c r="C2" t="s">
        <v>15</v>
      </c>
      <c r="D2" t="s">
        <v>16</v>
      </c>
      <c r="E2" t="s">
        <v>17</v>
      </c>
      <c r="F2" t="s">
        <v>18</v>
      </c>
      <c r="G2" t="s">
        <v>19</v>
      </c>
    </row>
    <row r="3" spans="1:11" ht="15" customHeight="1" thickBot="1" x14ac:dyDescent="0.25">
      <c r="A3" t="s">
        <v>20</v>
      </c>
      <c r="B3" s="70">
        <f>Calculator!B43</f>
        <v>50.6</v>
      </c>
      <c r="C3" s="68"/>
      <c r="D3" s="52">
        <v>8</v>
      </c>
      <c r="E3" s="68"/>
      <c r="F3" s="70">
        <f>Calculator!B40</f>
        <v>11.9</v>
      </c>
      <c r="I3" s="246" t="s">
        <v>242</v>
      </c>
      <c r="J3" s="247"/>
      <c r="K3" s="248"/>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Calculator!$U$15</f>
        <v>0.45</v>
      </c>
      <c r="G25" s="17" t="s">
        <v>23</v>
      </c>
      <c r="H25" t="str">
        <f>VLOOKUP(Calculator!$T$15,Calculator!$S$17:$T$31,2)</f>
        <v>Piggery</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203</v>
      </c>
      <c r="J28" s="72" t="s">
        <v>204</v>
      </c>
    </row>
    <row r="29" spans="1:10" ht="15" thickBot="1" x14ac:dyDescent="0.25">
      <c r="B29" s="9" t="s">
        <v>15</v>
      </c>
      <c r="C29" s="10" t="s">
        <v>17</v>
      </c>
      <c r="D29" s="10" t="s">
        <v>19</v>
      </c>
      <c r="E29" s="10" t="s">
        <v>29</v>
      </c>
      <c r="F29" s="10"/>
      <c r="G29" s="12" t="s">
        <v>30</v>
      </c>
      <c r="H29" s="9" t="s">
        <v>31</v>
      </c>
      <c r="I29" s="9" t="s">
        <v>15</v>
      </c>
      <c r="J29" s="79" t="s">
        <v>205</v>
      </c>
    </row>
    <row r="30" spans="1:10" x14ac:dyDescent="0.2">
      <c r="B30" s="7">
        <f>('VS&amp;RT'!B30+'VS&amp;RT'!B38)/2</f>
        <v>50.599999999999994</v>
      </c>
      <c r="C30" s="2">
        <f>C31-VLOOKUP($D$4,$A$6:$E$11,5)</f>
        <v>15</v>
      </c>
      <c r="D30" s="173">
        <f>'RT&amp;Temp'!D30</f>
        <v>3.9000000000000004</v>
      </c>
      <c r="E30" s="3">
        <f>IF(C30&lt;5,0,IF(C30&gt;60,NA(),0.566*(1+1110*EXP(-1*0.187*C30))^(1/(1-2.83))))</f>
        <v>5.6348056051357183E-2</v>
      </c>
      <c r="F30" s="3">
        <f t="shared" ref="F30:F56" si="0">0.6+0.0006*EXP(0.1185*B30)</f>
        <v>0.84111509117368477</v>
      </c>
      <c r="G30" s="8" t="str">
        <f>IF($D30&lt;1/$E30,"WshOut",$F$25*B30/D30*(1-F30/(E30*D30-1+F30)))</f>
        <v>WshOut</v>
      </c>
      <c r="H30" s="80">
        <f>IF($D30&lt;1/$E30,0,G30*D30)</f>
        <v>0</v>
      </c>
      <c r="I30" s="77">
        <f>B30-H30/0.5</f>
        <v>50.599999999999994</v>
      </c>
      <c r="J30" s="78">
        <f>(B30-I30)/B30</f>
        <v>0</v>
      </c>
    </row>
    <row r="31" spans="1:10" x14ac:dyDescent="0.2">
      <c r="B31" s="7">
        <f t="shared" ref="B31:B56" si="1">B30</f>
        <v>50.599999999999994</v>
      </c>
      <c r="C31" s="2">
        <f>C32-VLOOKUP($D$4,$A$6:$E$11,5)</f>
        <v>20</v>
      </c>
      <c r="D31" s="173">
        <f>D30</f>
        <v>3.9000000000000004</v>
      </c>
      <c r="E31" s="3">
        <f t="shared" ref="E31:E44" si="2">IF(C31&lt;5,0,IF(C31&gt;60,NA(),0.566*(1+1110*EXP(-1*0.187*C31))^(1/(1-2.83))))</f>
        <v>9.2778192724252737E-2</v>
      </c>
      <c r="F31" s="3">
        <f t="shared" si="0"/>
        <v>0.84111509117368477</v>
      </c>
      <c r="G31" s="8" t="str">
        <f t="shared" ref="G31:G56" si="3">IF($D31&lt;1/$E31,"WshOut",$F$25*B31/D31*(1-F31/(E31*D31-1+F31)))</f>
        <v>WshOut</v>
      </c>
      <c r="H31" s="80">
        <f t="shared" ref="H31:H56" si="4">IF($D31&lt;1/$E31,0,G31*D31)</f>
        <v>0</v>
      </c>
      <c r="I31" s="77">
        <f t="shared" ref="I31:I56" si="5">B31-H31/0.5</f>
        <v>50.599999999999994</v>
      </c>
      <c r="J31" s="73">
        <f t="shared" ref="J31:J56" si="6">(B31-I31)/B31</f>
        <v>0</v>
      </c>
    </row>
    <row r="32" spans="1:10" x14ac:dyDescent="0.2">
      <c r="B32" s="7">
        <f t="shared" si="1"/>
        <v>50.599999999999994</v>
      </c>
      <c r="C32" s="2">
        <f>C33-VLOOKUP($D$4,$A$6:$E$11,5)</f>
        <v>25</v>
      </c>
      <c r="D32" s="173">
        <f t="shared" ref="D32:D38" si="7">D31</f>
        <v>3.9000000000000004</v>
      </c>
      <c r="E32" s="3">
        <f t="shared" si="2"/>
        <v>0.15006799913832075</v>
      </c>
      <c r="F32" s="3">
        <f t="shared" si="0"/>
        <v>0.84111509117368477</v>
      </c>
      <c r="G32" s="8" t="str">
        <f t="shared" si="3"/>
        <v>WshOut</v>
      </c>
      <c r="H32" s="80">
        <f t="shared" si="4"/>
        <v>0</v>
      </c>
      <c r="I32" s="77">
        <f t="shared" si="5"/>
        <v>50.599999999999994</v>
      </c>
      <c r="J32" s="73">
        <f t="shared" si="6"/>
        <v>0</v>
      </c>
    </row>
    <row r="33" spans="2:10" x14ac:dyDescent="0.2">
      <c r="B33" s="7">
        <f t="shared" si="1"/>
        <v>50.599999999999994</v>
      </c>
      <c r="C33" s="2">
        <f>C34-VLOOKUP($D$4,$A$6:$E$11,5)</f>
        <v>30</v>
      </c>
      <c r="D33" s="173">
        <f t="shared" si="7"/>
        <v>3.9000000000000004</v>
      </c>
      <c r="E33" s="3">
        <f t="shared" si="2"/>
        <v>0.23326908223852505</v>
      </c>
      <c r="F33" s="3">
        <f t="shared" si="0"/>
        <v>0.84111509117368477</v>
      </c>
      <c r="G33" s="8" t="str">
        <f t="shared" si="3"/>
        <v>WshOut</v>
      </c>
      <c r="H33" s="80">
        <f t="shared" si="4"/>
        <v>0</v>
      </c>
      <c r="I33" s="77">
        <f t="shared" si="5"/>
        <v>50.599999999999994</v>
      </c>
      <c r="J33" s="73">
        <f t="shared" si="6"/>
        <v>0</v>
      </c>
    </row>
    <row r="34" spans="2:10" x14ac:dyDescent="0.2">
      <c r="B34" s="7">
        <f t="shared" si="1"/>
        <v>50.599999999999994</v>
      </c>
      <c r="C34" s="2">
        <f>VLOOKUP($D$3,$A$6:$D$19,3)</f>
        <v>35</v>
      </c>
      <c r="D34" s="173">
        <f t="shared" si="7"/>
        <v>3.9000000000000004</v>
      </c>
      <c r="E34" s="3">
        <f t="shared" si="2"/>
        <v>0.33610627813438543</v>
      </c>
      <c r="F34" s="3">
        <f t="shared" si="0"/>
        <v>0.84111509117368477</v>
      </c>
      <c r="G34" s="8">
        <f t="shared" si="3"/>
        <v>1.5753379830048198</v>
      </c>
      <c r="H34" s="80">
        <f t="shared" si="4"/>
        <v>6.1438181337187974</v>
      </c>
      <c r="I34" s="77">
        <f t="shared" si="5"/>
        <v>38.312363732562403</v>
      </c>
      <c r="J34" s="73">
        <f t="shared" si="6"/>
        <v>0.24283866141181012</v>
      </c>
    </row>
    <row r="35" spans="2:10" x14ac:dyDescent="0.2">
      <c r="B35" s="7">
        <f t="shared" si="1"/>
        <v>50.599999999999994</v>
      </c>
      <c r="C35" s="2">
        <f>C34+VLOOKUP($D$4,$A$6:$E$11,5)</f>
        <v>40</v>
      </c>
      <c r="D35" s="173">
        <f t="shared" si="7"/>
        <v>3.9000000000000004</v>
      </c>
      <c r="E35" s="3">
        <f t="shared" si="2"/>
        <v>0.43391281694873673</v>
      </c>
      <c r="F35" s="3">
        <f t="shared" si="0"/>
        <v>0.84111509117368477</v>
      </c>
      <c r="G35" s="8">
        <f t="shared" si="3"/>
        <v>2.6358412650394301</v>
      </c>
      <c r="H35" s="80">
        <f t="shared" si="4"/>
        <v>10.279780933653779</v>
      </c>
      <c r="I35" s="77">
        <f t="shared" si="5"/>
        <v>30.040438132692437</v>
      </c>
      <c r="J35" s="73">
        <f t="shared" si="6"/>
        <v>0.40631545192307433</v>
      </c>
    </row>
    <row r="36" spans="2:10" x14ac:dyDescent="0.2">
      <c r="B36" s="7">
        <f t="shared" si="1"/>
        <v>50.599999999999994</v>
      </c>
      <c r="C36" s="2">
        <f>C35+VLOOKUP($D$4,$A$6:$E$11,5)</f>
        <v>45</v>
      </c>
      <c r="D36" s="173">
        <f t="shared" si="7"/>
        <v>3.9000000000000004</v>
      </c>
      <c r="E36" s="3">
        <f t="shared" si="2"/>
        <v>0.50192909834520427</v>
      </c>
      <c r="F36" s="3">
        <f t="shared" si="0"/>
        <v>0.84111509117368477</v>
      </c>
      <c r="G36" s="8">
        <f t="shared" si="3"/>
        <v>3.1081642023212512</v>
      </c>
      <c r="H36" s="80">
        <f t="shared" si="4"/>
        <v>12.121840389052881</v>
      </c>
      <c r="I36" s="77">
        <f t="shared" si="5"/>
        <v>26.356319221894232</v>
      </c>
      <c r="J36" s="73">
        <f t="shared" si="6"/>
        <v>0.47912412604952104</v>
      </c>
    </row>
    <row r="37" spans="2:10" x14ac:dyDescent="0.2">
      <c r="B37" s="7">
        <f t="shared" si="1"/>
        <v>50.599999999999994</v>
      </c>
      <c r="C37" s="2">
        <f>C36+VLOOKUP($D$4,$A$6:$E$11,5)</f>
        <v>50</v>
      </c>
      <c r="D37" s="173">
        <f t="shared" si="7"/>
        <v>3.9000000000000004</v>
      </c>
      <c r="E37" s="3">
        <f t="shared" si="2"/>
        <v>0.53820403085336554</v>
      </c>
      <c r="F37" s="3">
        <f t="shared" si="0"/>
        <v>0.84111509117368477</v>
      </c>
      <c r="G37" s="8">
        <f t="shared" si="3"/>
        <v>3.3072565783511734</v>
      </c>
      <c r="H37" s="80">
        <f t="shared" si="4"/>
        <v>12.898300655569578</v>
      </c>
      <c r="I37" s="77">
        <f t="shared" si="5"/>
        <v>24.803398688860838</v>
      </c>
      <c r="J37" s="73">
        <f t="shared" si="6"/>
        <v>0.50981425516085299</v>
      </c>
    </row>
    <row r="38" spans="2:10" x14ac:dyDescent="0.2">
      <c r="B38" s="7">
        <f t="shared" si="1"/>
        <v>50.599999999999994</v>
      </c>
      <c r="C38" s="2">
        <f>C37+VLOOKUP($D$4,$A$6:$E$11,5)</f>
        <v>55</v>
      </c>
      <c r="D38" s="173">
        <f t="shared" si="7"/>
        <v>3.9000000000000004</v>
      </c>
      <c r="E38" s="3">
        <f t="shared" si="2"/>
        <v>0.55461164043194688</v>
      </c>
      <c r="F38" s="3">
        <f t="shared" si="0"/>
        <v>0.84111509117368477</v>
      </c>
      <c r="G38" s="8">
        <f t="shared" si="3"/>
        <v>3.3880763723789791</v>
      </c>
      <c r="H38" s="80">
        <f t="shared" si="4"/>
        <v>13.213497852278019</v>
      </c>
      <c r="I38" s="77">
        <f t="shared" si="5"/>
        <v>24.173004295443956</v>
      </c>
      <c r="J38" s="73">
        <f t="shared" si="6"/>
        <v>0.52227264238253046</v>
      </c>
    </row>
    <row r="39" spans="2:10" x14ac:dyDescent="0.2">
      <c r="B39" s="7">
        <f t="shared" si="1"/>
        <v>50.599999999999994</v>
      </c>
      <c r="C39" s="2">
        <f t="shared" ref="C39:C56" si="8">C30</f>
        <v>15</v>
      </c>
      <c r="D39" s="173">
        <f>'RT&amp;Temp'!D34</f>
        <v>11.9</v>
      </c>
      <c r="E39" s="3">
        <f t="shared" si="2"/>
        <v>5.6348056051357183E-2</v>
      </c>
      <c r="F39" s="3">
        <f t="shared" si="0"/>
        <v>0.84111509117368477</v>
      </c>
      <c r="G39" s="8" t="str">
        <f t="shared" si="3"/>
        <v>WshOut</v>
      </c>
      <c r="H39" s="80">
        <f t="shared" si="4"/>
        <v>0</v>
      </c>
      <c r="I39" s="77">
        <f t="shared" si="5"/>
        <v>50.599999999999994</v>
      </c>
      <c r="J39" s="73">
        <f t="shared" si="6"/>
        <v>0</v>
      </c>
    </row>
    <row r="40" spans="2:10" x14ac:dyDescent="0.2">
      <c r="B40" s="7">
        <f t="shared" si="1"/>
        <v>50.599999999999994</v>
      </c>
      <c r="C40" s="2">
        <f t="shared" si="8"/>
        <v>20</v>
      </c>
      <c r="D40" s="173">
        <f t="shared" ref="D40:D47" si="9">D39</f>
        <v>11.9</v>
      </c>
      <c r="E40" s="3">
        <f t="shared" si="2"/>
        <v>9.2778192724252737E-2</v>
      </c>
      <c r="F40" s="3">
        <f t="shared" si="0"/>
        <v>0.84111509117368477</v>
      </c>
      <c r="G40" s="8">
        <f t="shared" si="3"/>
        <v>0.21066357767362723</v>
      </c>
      <c r="H40" s="80">
        <f t="shared" si="4"/>
        <v>2.5068965743161642</v>
      </c>
      <c r="I40" s="77">
        <f t="shared" si="5"/>
        <v>45.586206851367663</v>
      </c>
      <c r="J40" s="73">
        <f t="shared" si="6"/>
        <v>9.9086821119216045E-2</v>
      </c>
    </row>
    <row r="41" spans="2:10" x14ac:dyDescent="0.2">
      <c r="B41" s="7">
        <f t="shared" si="1"/>
        <v>50.599999999999994</v>
      </c>
      <c r="C41" s="2">
        <f t="shared" si="8"/>
        <v>25</v>
      </c>
      <c r="D41" s="173">
        <f t="shared" si="9"/>
        <v>11.9</v>
      </c>
      <c r="E41" s="3">
        <f t="shared" si="2"/>
        <v>0.15006799913832075</v>
      </c>
      <c r="F41" s="3">
        <f t="shared" si="0"/>
        <v>0.84111509117368477</v>
      </c>
      <c r="G41" s="8">
        <f t="shared" si="3"/>
        <v>0.92419971836569759</v>
      </c>
      <c r="H41" s="80">
        <f t="shared" si="4"/>
        <v>10.997976648551802</v>
      </c>
      <c r="I41" s="77">
        <f t="shared" si="5"/>
        <v>28.60404670289639</v>
      </c>
      <c r="J41" s="73">
        <f t="shared" si="6"/>
        <v>0.4347026343301108</v>
      </c>
    </row>
    <row r="42" spans="2:10" x14ac:dyDescent="0.2">
      <c r="B42" s="7">
        <f t="shared" si="1"/>
        <v>50.599999999999994</v>
      </c>
      <c r="C42" s="2">
        <f t="shared" si="8"/>
        <v>30</v>
      </c>
      <c r="D42" s="173">
        <f t="shared" si="9"/>
        <v>11.9</v>
      </c>
      <c r="E42" s="3">
        <f t="shared" si="2"/>
        <v>0.23326908223852505</v>
      </c>
      <c r="F42" s="3">
        <f t="shared" si="0"/>
        <v>0.84111509117368477</v>
      </c>
      <c r="G42" s="8">
        <f t="shared" si="3"/>
        <v>1.2984598128043203</v>
      </c>
      <c r="H42" s="80">
        <f t="shared" si="4"/>
        <v>15.451671772371412</v>
      </c>
      <c r="I42" s="77">
        <f t="shared" si="5"/>
        <v>19.69665645525717</v>
      </c>
      <c r="J42" s="73">
        <f t="shared" si="6"/>
        <v>0.61073801471823774</v>
      </c>
    </row>
    <row r="43" spans="2:10" x14ac:dyDescent="0.2">
      <c r="B43" s="7">
        <f t="shared" si="1"/>
        <v>50.599999999999994</v>
      </c>
      <c r="C43" s="2">
        <f t="shared" si="8"/>
        <v>35</v>
      </c>
      <c r="D43" s="173">
        <f t="shared" si="9"/>
        <v>11.9</v>
      </c>
      <c r="E43" s="3">
        <f t="shared" si="2"/>
        <v>0.33610627813438543</v>
      </c>
      <c r="F43" s="3">
        <f t="shared" si="0"/>
        <v>0.84111509117368477</v>
      </c>
      <c r="G43" s="8">
        <f t="shared" si="3"/>
        <v>1.4944086545953059</v>
      </c>
      <c r="H43" s="80">
        <f t="shared" si="4"/>
        <v>17.783462989684139</v>
      </c>
      <c r="I43" s="77">
        <f t="shared" si="5"/>
        <v>15.033074020631716</v>
      </c>
      <c r="J43" s="73">
        <f t="shared" si="6"/>
        <v>0.70290367548158661</v>
      </c>
    </row>
    <row r="44" spans="2:10" x14ac:dyDescent="0.2">
      <c r="B44" s="7">
        <f t="shared" si="1"/>
        <v>50.599999999999994</v>
      </c>
      <c r="C44" s="2">
        <f t="shared" si="8"/>
        <v>40</v>
      </c>
      <c r="D44" s="173">
        <f t="shared" si="9"/>
        <v>11.9</v>
      </c>
      <c r="E44" s="3">
        <f t="shared" si="2"/>
        <v>0.43391281694873673</v>
      </c>
      <c r="F44" s="3">
        <f t="shared" si="0"/>
        <v>0.84111509117368477</v>
      </c>
      <c r="G44" s="8">
        <f t="shared" si="3"/>
        <v>1.5918606711637793</v>
      </c>
      <c r="H44" s="80">
        <f t="shared" si="4"/>
        <v>18.943141986848975</v>
      </c>
      <c r="I44" s="77">
        <f t="shared" si="5"/>
        <v>12.713716026302045</v>
      </c>
      <c r="J44" s="73">
        <f t="shared" si="6"/>
        <v>0.74874078999403071</v>
      </c>
    </row>
    <row r="45" spans="2:10" x14ac:dyDescent="0.2">
      <c r="B45" s="7">
        <f t="shared" si="1"/>
        <v>50.599999999999994</v>
      </c>
      <c r="C45" s="2">
        <f t="shared" si="8"/>
        <v>45</v>
      </c>
      <c r="D45" s="173">
        <f t="shared" si="9"/>
        <v>11.9</v>
      </c>
      <c r="E45" s="3">
        <f t="shared" ref="E45:E56" si="10">IF(C45&lt;5,0,IF(C45&gt;60,NA(),0.566*(1+1110*EXP(-1*0.187*C45))^(1/(1-2.83))))</f>
        <v>0.50192909834520427</v>
      </c>
      <c r="F45" s="3">
        <f t="shared" si="0"/>
        <v>0.84111509117368477</v>
      </c>
      <c r="G45" s="8">
        <f t="shared" si="3"/>
        <v>1.63662941157024</v>
      </c>
      <c r="H45" s="80">
        <f t="shared" si="4"/>
        <v>19.475889997685858</v>
      </c>
      <c r="I45" s="77">
        <f t="shared" si="5"/>
        <v>11.648220004628278</v>
      </c>
      <c r="J45" s="73">
        <f t="shared" si="6"/>
        <v>0.769798023623947</v>
      </c>
    </row>
    <row r="46" spans="2:10" x14ac:dyDescent="0.2">
      <c r="B46" s="7">
        <f t="shared" si="1"/>
        <v>50.599999999999994</v>
      </c>
      <c r="C46" s="2">
        <f t="shared" si="8"/>
        <v>50</v>
      </c>
      <c r="D46" s="173">
        <f t="shared" si="9"/>
        <v>11.9</v>
      </c>
      <c r="E46" s="3">
        <f t="shared" si="10"/>
        <v>0.53820403085336554</v>
      </c>
      <c r="F46" s="3">
        <f t="shared" si="0"/>
        <v>0.84111509117368477</v>
      </c>
      <c r="G46" s="8">
        <f t="shared" si="3"/>
        <v>1.6557614214676146</v>
      </c>
      <c r="H46" s="80">
        <f t="shared" si="4"/>
        <v>19.703560915464614</v>
      </c>
      <c r="I46" s="77">
        <f t="shared" si="5"/>
        <v>11.192878169070767</v>
      </c>
      <c r="J46" s="73">
        <f t="shared" si="6"/>
        <v>0.7787968741290362</v>
      </c>
    </row>
    <row r="47" spans="2:10" x14ac:dyDescent="0.2">
      <c r="B47" s="7">
        <f t="shared" si="1"/>
        <v>50.599999999999994</v>
      </c>
      <c r="C47" s="2">
        <f t="shared" si="8"/>
        <v>55</v>
      </c>
      <c r="D47" s="173">
        <f t="shared" si="9"/>
        <v>11.9</v>
      </c>
      <c r="E47" s="3">
        <f t="shared" si="10"/>
        <v>0.55461164043194688</v>
      </c>
      <c r="F47" s="3">
        <f t="shared" si="0"/>
        <v>0.84111509117368477</v>
      </c>
      <c r="G47" s="8">
        <f t="shared" si="3"/>
        <v>1.6635727838635299</v>
      </c>
      <c r="H47" s="80">
        <f t="shared" si="4"/>
        <v>19.796516127976005</v>
      </c>
      <c r="I47" s="77">
        <f t="shared" si="5"/>
        <v>11.006967744047984</v>
      </c>
      <c r="J47" s="73">
        <f t="shared" si="6"/>
        <v>0.78247099320063274</v>
      </c>
    </row>
    <row r="48" spans="2:10" x14ac:dyDescent="0.2">
      <c r="B48" s="7">
        <f t="shared" si="1"/>
        <v>50.599999999999994</v>
      </c>
      <c r="C48" s="2">
        <f t="shared" si="8"/>
        <v>15</v>
      </c>
      <c r="D48" s="173">
        <f>'RT&amp;Temp'!D38</f>
        <v>19.899999999999999</v>
      </c>
      <c r="E48" s="3">
        <f t="shared" si="10"/>
        <v>5.6348056051357183E-2</v>
      </c>
      <c r="F48" s="3">
        <f t="shared" si="0"/>
        <v>0.84111509117368477</v>
      </c>
      <c r="G48" s="8">
        <f t="shared" si="3"/>
        <v>0.14424164402153863</v>
      </c>
      <c r="H48" s="80">
        <f t="shared" si="4"/>
        <v>2.8704087160286185</v>
      </c>
      <c r="I48" s="77">
        <f t="shared" si="5"/>
        <v>44.85918256794276</v>
      </c>
      <c r="J48" s="73">
        <f t="shared" si="6"/>
        <v>0.11345488996160544</v>
      </c>
    </row>
    <row r="49" spans="2:10" x14ac:dyDescent="0.2">
      <c r="B49" s="7">
        <f t="shared" si="1"/>
        <v>50.599999999999994</v>
      </c>
      <c r="C49" s="2">
        <f t="shared" si="8"/>
        <v>20</v>
      </c>
      <c r="D49" s="173">
        <f t="shared" ref="D49:D56" si="11">D48</f>
        <v>19.899999999999999</v>
      </c>
      <c r="E49" s="3">
        <f t="shared" si="10"/>
        <v>9.2778192724252737E-2</v>
      </c>
      <c r="F49" s="3">
        <f t="shared" si="0"/>
        <v>0.84111509117368477</v>
      </c>
      <c r="G49" s="8">
        <f t="shared" si="3"/>
        <v>0.57386375276242707</v>
      </c>
      <c r="H49" s="80">
        <f t="shared" si="4"/>
        <v>11.419888679972297</v>
      </c>
      <c r="I49" s="77">
        <f t="shared" si="5"/>
        <v>27.7602226400554</v>
      </c>
      <c r="J49" s="73">
        <f t="shared" si="6"/>
        <v>0.45137899920839125</v>
      </c>
    </row>
    <row r="50" spans="2:10" x14ac:dyDescent="0.2">
      <c r="B50" s="7">
        <f t="shared" si="1"/>
        <v>50.599999999999994</v>
      </c>
      <c r="C50" s="2">
        <f t="shared" si="8"/>
        <v>25</v>
      </c>
      <c r="D50" s="173">
        <f t="shared" si="11"/>
        <v>19.899999999999999</v>
      </c>
      <c r="E50" s="3">
        <f t="shared" si="10"/>
        <v>0.15006799913832075</v>
      </c>
      <c r="F50" s="3">
        <f t="shared" si="0"/>
        <v>0.84111509117368477</v>
      </c>
      <c r="G50" s="8">
        <f t="shared" si="3"/>
        <v>0.80383828024901494</v>
      </c>
      <c r="H50" s="80">
        <f t="shared" si="4"/>
        <v>15.996381776955396</v>
      </c>
      <c r="I50" s="77">
        <f t="shared" si="5"/>
        <v>18.607236446089203</v>
      </c>
      <c r="J50" s="73">
        <f t="shared" si="6"/>
        <v>0.63226805442511447</v>
      </c>
    </row>
    <row r="51" spans="2:10" x14ac:dyDescent="0.2">
      <c r="B51" s="7">
        <f t="shared" si="1"/>
        <v>50.599999999999994</v>
      </c>
      <c r="C51" s="2">
        <f t="shared" si="8"/>
        <v>30</v>
      </c>
      <c r="D51" s="173">
        <f t="shared" si="11"/>
        <v>19.899999999999999</v>
      </c>
      <c r="E51" s="3">
        <f t="shared" si="10"/>
        <v>0.23326908223852505</v>
      </c>
      <c r="F51" s="3">
        <f t="shared" si="0"/>
        <v>0.84111509117368477</v>
      </c>
      <c r="G51" s="8">
        <f t="shared" si="3"/>
        <v>0.9295467397367444</v>
      </c>
      <c r="H51" s="80">
        <f t="shared" si="4"/>
        <v>18.497980120761213</v>
      </c>
      <c r="I51" s="77">
        <f t="shared" si="5"/>
        <v>13.604039758477569</v>
      </c>
      <c r="J51" s="73">
        <f t="shared" si="6"/>
        <v>0.73114545931862507</v>
      </c>
    </row>
    <row r="52" spans="2:10" x14ac:dyDescent="0.2">
      <c r="B52" s="7">
        <f t="shared" si="1"/>
        <v>50.599999999999994</v>
      </c>
      <c r="C52" s="2">
        <f t="shared" si="8"/>
        <v>35</v>
      </c>
      <c r="D52" s="173">
        <f t="shared" si="11"/>
        <v>19.899999999999999</v>
      </c>
      <c r="E52" s="3">
        <f t="shared" si="10"/>
        <v>0.33610627813438543</v>
      </c>
      <c r="F52" s="3">
        <f t="shared" si="0"/>
        <v>0.84111509117368477</v>
      </c>
      <c r="G52" s="8">
        <f t="shared" si="3"/>
        <v>0.99682812374161855</v>
      </c>
      <c r="H52" s="80">
        <f t="shared" si="4"/>
        <v>19.836879662458209</v>
      </c>
      <c r="I52" s="77">
        <f t="shared" si="5"/>
        <v>10.926240675083577</v>
      </c>
      <c r="J52" s="73">
        <f t="shared" si="6"/>
        <v>0.7840663898204826</v>
      </c>
    </row>
    <row r="53" spans="2:10" x14ac:dyDescent="0.2">
      <c r="B53" s="7">
        <f t="shared" si="1"/>
        <v>50.599999999999994</v>
      </c>
      <c r="C53" s="2">
        <f t="shared" si="8"/>
        <v>40</v>
      </c>
      <c r="D53" s="173">
        <f t="shared" si="11"/>
        <v>19.899999999999999</v>
      </c>
      <c r="E53" s="3">
        <f t="shared" si="10"/>
        <v>0.43391281694873673</v>
      </c>
      <c r="F53" s="3">
        <f t="shared" si="0"/>
        <v>0.84111509117368477</v>
      </c>
      <c r="G53" s="8">
        <f t="shared" si="3"/>
        <v>1.0306741619715789</v>
      </c>
      <c r="H53" s="80">
        <f t="shared" si="4"/>
        <v>20.510415823234418</v>
      </c>
      <c r="I53" s="77">
        <f t="shared" si="5"/>
        <v>9.5791683535311591</v>
      </c>
      <c r="J53" s="73">
        <f t="shared" si="6"/>
        <v>0.81068837245985848</v>
      </c>
    </row>
    <row r="54" spans="2:10" x14ac:dyDescent="0.2">
      <c r="B54" s="7">
        <f t="shared" si="1"/>
        <v>50.599999999999994</v>
      </c>
      <c r="C54" s="2">
        <f t="shared" si="8"/>
        <v>45</v>
      </c>
      <c r="D54" s="173">
        <f t="shared" si="11"/>
        <v>19.899999999999999</v>
      </c>
      <c r="E54" s="3">
        <f t="shared" si="10"/>
        <v>0.50192909834520427</v>
      </c>
      <c r="F54" s="3">
        <f t="shared" si="0"/>
        <v>0.84111509117368477</v>
      </c>
      <c r="G54" s="8">
        <f t="shared" si="3"/>
        <v>1.0463095908689115</v>
      </c>
      <c r="H54" s="80">
        <f t="shared" si="4"/>
        <v>20.821560858291338</v>
      </c>
      <c r="I54" s="77">
        <f t="shared" si="5"/>
        <v>8.9568782834173177</v>
      </c>
      <c r="J54" s="73">
        <f t="shared" si="6"/>
        <v>0.822986595189381</v>
      </c>
    </row>
    <row r="55" spans="2:10" x14ac:dyDescent="0.2">
      <c r="B55" s="7">
        <f t="shared" si="1"/>
        <v>50.599999999999994</v>
      </c>
      <c r="C55" s="2">
        <f t="shared" si="8"/>
        <v>50</v>
      </c>
      <c r="D55" s="173">
        <f t="shared" si="11"/>
        <v>19.899999999999999</v>
      </c>
      <c r="E55" s="3">
        <f t="shared" si="10"/>
        <v>0.53820403085336554</v>
      </c>
      <c r="F55" s="3">
        <f t="shared" si="0"/>
        <v>0.84111509117368477</v>
      </c>
      <c r="G55" s="8">
        <f t="shared" si="3"/>
        <v>1.053008196151884</v>
      </c>
      <c r="H55" s="80">
        <f t="shared" si="4"/>
        <v>20.95486310342249</v>
      </c>
      <c r="I55" s="77">
        <f t="shared" si="5"/>
        <v>8.6902737931550149</v>
      </c>
      <c r="J55" s="73">
        <f t="shared" si="6"/>
        <v>0.82825545863330008</v>
      </c>
    </row>
    <row r="56" spans="2:10" ht="13.5" thickBot="1" x14ac:dyDescent="0.25">
      <c r="B56" s="9">
        <f t="shared" si="1"/>
        <v>50.599999999999994</v>
      </c>
      <c r="C56" s="10">
        <f t="shared" si="8"/>
        <v>55</v>
      </c>
      <c r="D56" s="174">
        <f t="shared" si="11"/>
        <v>19.899999999999999</v>
      </c>
      <c r="E56" s="11">
        <f t="shared" si="10"/>
        <v>0.55461164043194688</v>
      </c>
      <c r="F56" s="11">
        <f t="shared" si="0"/>
        <v>0.84111509117368477</v>
      </c>
      <c r="G56" s="13">
        <f t="shared" si="3"/>
        <v>1.0557460493998676</v>
      </c>
      <c r="H56" s="81">
        <f t="shared" si="4"/>
        <v>21.009346383057363</v>
      </c>
      <c r="I56" s="77">
        <f t="shared" si="5"/>
        <v>8.5813072338852692</v>
      </c>
      <c r="J56" s="74">
        <f t="shared" si="6"/>
        <v>0.83040894794693143</v>
      </c>
    </row>
  </sheetData>
  <sheetProtection sheet="1" objects="1" scenarios="1"/>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topLeftCell="A26" zoomScale="95" workbookViewId="0"/>
  </sheetViews>
  <sheetFormatPr defaultRowHeight="12.75" x14ac:dyDescent="0.2"/>
  <cols>
    <col min="9" max="9" width="9.5703125" bestFit="1" customWidth="1"/>
  </cols>
  <sheetData>
    <row r="1" spans="1:11" ht="13.5" thickBot="1" x14ac:dyDescent="0.25">
      <c r="A1" s="14" t="s">
        <v>12</v>
      </c>
      <c r="D1" s="212" t="s">
        <v>279</v>
      </c>
      <c r="I1" s="246" t="s">
        <v>211</v>
      </c>
      <c r="J1" s="247"/>
      <c r="K1" s="248"/>
    </row>
    <row r="2" spans="1:11" ht="15" thickBot="1" x14ac:dyDescent="0.25">
      <c r="A2" s="1" t="s">
        <v>13</v>
      </c>
      <c r="B2" t="s">
        <v>14</v>
      </c>
      <c r="C2" t="s">
        <v>15</v>
      </c>
      <c r="D2" t="s">
        <v>16</v>
      </c>
      <c r="E2" t="s">
        <v>17</v>
      </c>
      <c r="F2" t="s">
        <v>18</v>
      </c>
      <c r="G2" t="s">
        <v>19</v>
      </c>
    </row>
    <row r="3" spans="1:11" ht="15" customHeight="1" thickBot="1" x14ac:dyDescent="0.25">
      <c r="A3" t="s">
        <v>20</v>
      </c>
      <c r="B3" s="70">
        <f>Calculator!B43</f>
        <v>50.6</v>
      </c>
      <c r="C3" s="68"/>
      <c r="D3" s="52"/>
      <c r="E3" s="68"/>
      <c r="F3" s="70">
        <f>Calculator!B40</f>
        <v>11.9</v>
      </c>
      <c r="I3" s="246" t="s">
        <v>242</v>
      </c>
      <c r="J3" s="247"/>
      <c r="K3" s="248"/>
    </row>
    <row r="4" spans="1:11" ht="15" customHeight="1" x14ac:dyDescent="0.2">
      <c r="A4" t="s">
        <v>21</v>
      </c>
      <c r="B4" s="52"/>
      <c r="C4" s="52"/>
      <c r="D4" s="52"/>
      <c r="E4" s="52"/>
      <c r="F4" s="52"/>
    </row>
    <row r="25" spans="1:10" x14ac:dyDescent="0.2">
      <c r="E25" s="16" t="s">
        <v>22</v>
      </c>
      <c r="F25" s="17">
        <f>'Temp&amp;RT'!F25</f>
        <v>0.45</v>
      </c>
      <c r="G25" s="17" t="str">
        <f>'Temp&amp;RT'!G25</f>
        <v xml:space="preserve">For </v>
      </c>
      <c r="H25" s="49" t="str">
        <f>'Temp&amp;RT'!H25</f>
        <v>Piggery</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203</v>
      </c>
      <c r="J28" s="72" t="s">
        <v>204</v>
      </c>
    </row>
    <row r="29" spans="1:10" ht="15" thickBot="1" x14ac:dyDescent="0.25">
      <c r="B29" s="9" t="s">
        <v>15</v>
      </c>
      <c r="C29" s="10" t="s">
        <v>17</v>
      </c>
      <c r="D29" s="10" t="s">
        <v>19</v>
      </c>
      <c r="E29" s="10" t="s">
        <v>29</v>
      </c>
      <c r="F29" s="10"/>
      <c r="G29" s="12" t="s">
        <v>30</v>
      </c>
      <c r="H29" s="9" t="s">
        <v>31</v>
      </c>
      <c r="I29" s="9" t="s">
        <v>15</v>
      </c>
      <c r="J29" s="79" t="s">
        <v>205</v>
      </c>
    </row>
    <row r="30" spans="1:10" x14ac:dyDescent="0.2">
      <c r="B30" s="7">
        <f>B31-VLOOKUP('Temp&amp;RT'!$B$4,'Temp&amp;RT'!$A$6:$E$11,5)</f>
        <v>30.6</v>
      </c>
      <c r="C30" s="2">
        <f>('Temp&amp;RT'!C30+'Temp&amp;RT'!C38)/2</f>
        <v>35</v>
      </c>
      <c r="D30" s="173">
        <f>'RT&amp;Temp'!D30</f>
        <v>3.9000000000000004</v>
      </c>
      <c r="E30" s="3">
        <f>IF(C30&lt;5,0,IF(C30&gt;60,NA(),0.566*(1+1110*EXP(-1*0.187*C30))^(1/(1-2.83))))</f>
        <v>0.33610627813438543</v>
      </c>
      <c r="F30" s="3">
        <f t="shared" ref="F30:F56" si="0">0.6+0.0006*EXP(0.1185*B30)</f>
        <v>0.62253961383951628</v>
      </c>
      <c r="G30" s="8">
        <f>IF($D30&lt;1/$E30,"WshOut",$F$25*B30/D30*(1-F30/(E30*D30-1+F30)))</f>
        <v>1.1757747899003355</v>
      </c>
      <c r="H30" s="80">
        <f>IF($D30&lt;1/$E30,0,G30*D30)</f>
        <v>4.5855216806113086</v>
      </c>
      <c r="I30" s="77">
        <f>B30-H30/0.5</f>
        <v>21.428956638777386</v>
      </c>
      <c r="J30" s="78">
        <f>(B30-I30)/B30</f>
        <v>0.29970729938635998</v>
      </c>
    </row>
    <row r="31" spans="1:10" x14ac:dyDescent="0.2">
      <c r="B31" s="7">
        <f>B32-VLOOKUP('Temp&amp;RT'!$B$4,'Temp&amp;RT'!$A$6:$E$11,5)</f>
        <v>35.6</v>
      </c>
      <c r="C31" s="2">
        <f t="shared" ref="C31:D56" si="1">C30</f>
        <v>35</v>
      </c>
      <c r="D31" s="173">
        <f>D30</f>
        <v>3.9000000000000004</v>
      </c>
      <c r="E31" s="3">
        <f t="shared" ref="E31:E44" si="2">IF(C31&lt;5,0,IF(C31&gt;60,NA(),0.566*(1+1110*EXP(-1*0.187*C31))^(1/(1-2.83))))</f>
        <v>0.33610627813438543</v>
      </c>
      <c r="F31" s="3">
        <f t="shared" si="0"/>
        <v>0.64076298243187557</v>
      </c>
      <c r="G31" s="8">
        <f t="shared" ref="G31:G56" si="3">IF($D31&lt;1/$E31,"WshOut",$F$25*B31/D31*(1-F31/(E31*D31-1+F31)))</f>
        <v>1.3416987182728972</v>
      </c>
      <c r="H31" s="80">
        <f t="shared" ref="H31:H56" si="4">IF($D31&lt;1/$E31,0,G31*D31)</f>
        <v>5.2326250012642994</v>
      </c>
      <c r="I31" s="77">
        <f t="shared" ref="I31:I56" si="5">B31-H31/0.5</f>
        <v>25.134749997471403</v>
      </c>
      <c r="J31" s="73">
        <f t="shared" ref="J31:J56" si="6">(B31-I31)/B31</f>
        <v>0.29396769670024153</v>
      </c>
    </row>
    <row r="32" spans="1:10" x14ac:dyDescent="0.2">
      <c r="B32" s="7">
        <f>B33-VLOOKUP('Temp&amp;RT'!$B$4,'Temp&amp;RT'!$A$6:$E$11,5)</f>
        <v>40.6</v>
      </c>
      <c r="C32" s="2">
        <f t="shared" si="1"/>
        <v>35</v>
      </c>
      <c r="D32" s="173">
        <f t="shared" si="1"/>
        <v>3.9000000000000004</v>
      </c>
      <c r="E32" s="3">
        <f t="shared" si="2"/>
        <v>0.33610627813438543</v>
      </c>
      <c r="F32" s="3">
        <f t="shared" si="0"/>
        <v>0.67372001794583769</v>
      </c>
      <c r="G32" s="8">
        <f t="shared" si="3"/>
        <v>1.4789185274372934</v>
      </c>
      <c r="H32" s="80">
        <f t="shared" si="4"/>
        <v>5.7677822570054449</v>
      </c>
      <c r="I32" s="77">
        <f t="shared" si="5"/>
        <v>29.064435485989112</v>
      </c>
      <c r="J32" s="73">
        <f t="shared" si="6"/>
        <v>0.28412720477859332</v>
      </c>
    </row>
    <row r="33" spans="2:10" x14ac:dyDescent="0.2">
      <c r="B33" s="7">
        <f>B34-VLOOKUP('Temp&amp;RT'!$B$4,'Temp&amp;RT'!$A$6:$E$11,5)</f>
        <v>45.6</v>
      </c>
      <c r="C33" s="2">
        <f t="shared" si="1"/>
        <v>35</v>
      </c>
      <c r="D33" s="173">
        <f t="shared" si="1"/>
        <v>3.9000000000000004</v>
      </c>
      <c r="E33" s="3">
        <f t="shared" si="2"/>
        <v>0.33610627813438543</v>
      </c>
      <c r="F33" s="3">
        <f t="shared" si="0"/>
        <v>0.73332294944358356</v>
      </c>
      <c r="G33" s="8">
        <f t="shared" si="3"/>
        <v>1.5662328657747282</v>
      </c>
      <c r="H33" s="80">
        <f t="shared" si="4"/>
        <v>6.1083081765214402</v>
      </c>
      <c r="I33" s="77">
        <f t="shared" si="5"/>
        <v>33.383383646957121</v>
      </c>
      <c r="J33" s="73">
        <f t="shared" si="6"/>
        <v>0.2679082533562035</v>
      </c>
    </row>
    <row r="34" spans="2:10" x14ac:dyDescent="0.2">
      <c r="B34" s="69">
        <f>0.1*INT(B3*10+0.5)</f>
        <v>50.6</v>
      </c>
      <c r="C34" s="2">
        <f t="shared" si="1"/>
        <v>35</v>
      </c>
      <c r="D34" s="173">
        <f t="shared" si="1"/>
        <v>3.9000000000000004</v>
      </c>
      <c r="E34" s="3">
        <f t="shared" si="2"/>
        <v>0.33610627813438543</v>
      </c>
      <c r="F34" s="3">
        <f t="shared" si="0"/>
        <v>0.84111509117368499</v>
      </c>
      <c r="G34" s="8">
        <f t="shared" si="3"/>
        <v>1.5753379830048184</v>
      </c>
      <c r="H34" s="80">
        <f t="shared" si="4"/>
        <v>6.143818133718792</v>
      </c>
      <c r="I34" s="77">
        <f t="shared" si="5"/>
        <v>38.312363732562417</v>
      </c>
      <c r="J34" s="73">
        <f t="shared" si="6"/>
        <v>0.24283866141180996</v>
      </c>
    </row>
    <row r="35" spans="2:10" x14ac:dyDescent="0.2">
      <c r="B35" s="7">
        <f>B34+VLOOKUP('Temp&amp;RT'!$B$4,'Temp&amp;RT'!$A$6:$E$11,5)</f>
        <v>55.6</v>
      </c>
      <c r="C35" s="2">
        <f t="shared" si="1"/>
        <v>35</v>
      </c>
      <c r="D35" s="173">
        <f t="shared" si="1"/>
        <v>3.9000000000000004</v>
      </c>
      <c r="E35" s="3">
        <f t="shared" si="2"/>
        <v>0.33610627813438543</v>
      </c>
      <c r="F35" s="3">
        <f t="shared" si="0"/>
        <v>1.0360576137441002</v>
      </c>
      <c r="G35" s="8">
        <f t="shared" si="3"/>
        <v>1.4804631158411228</v>
      </c>
      <c r="H35" s="80">
        <f t="shared" si="4"/>
        <v>5.7738061517803789</v>
      </c>
      <c r="I35" s="77">
        <f t="shared" si="5"/>
        <v>44.05238769643924</v>
      </c>
      <c r="J35" s="73">
        <f t="shared" si="6"/>
        <v>0.20769086876907844</v>
      </c>
    </row>
    <row r="36" spans="2:10" x14ac:dyDescent="0.2">
      <c r="B36" s="7">
        <f>B35+VLOOKUP('Temp&amp;RT'!$B$4,'Temp&amp;RT'!$A$6:$E$11,5)</f>
        <v>60.6</v>
      </c>
      <c r="C36" s="2">
        <f t="shared" si="1"/>
        <v>35</v>
      </c>
      <c r="D36" s="173">
        <f t="shared" si="1"/>
        <v>3.9000000000000004</v>
      </c>
      <c r="E36" s="3">
        <f t="shared" si="2"/>
        <v>0.33610627813438543</v>
      </c>
      <c r="F36" s="3">
        <f t="shared" si="0"/>
        <v>1.3886119511583328</v>
      </c>
      <c r="G36" s="8">
        <f t="shared" si="3"/>
        <v>1.2788494203272149</v>
      </c>
      <c r="H36" s="80">
        <f t="shared" si="4"/>
        <v>4.9875127392761387</v>
      </c>
      <c r="I36" s="77">
        <f t="shared" si="5"/>
        <v>50.624974521447726</v>
      </c>
      <c r="J36" s="73">
        <f t="shared" si="6"/>
        <v>0.16460438083419596</v>
      </c>
    </row>
    <row r="37" spans="2:10" x14ac:dyDescent="0.2">
      <c r="B37" s="7">
        <f>B36+VLOOKUP('Temp&amp;RT'!$B$4,'Temp&amp;RT'!$A$6:$E$11,5)</f>
        <v>65.599999999999994</v>
      </c>
      <c r="C37" s="2">
        <f t="shared" si="1"/>
        <v>35</v>
      </c>
      <c r="D37" s="173">
        <f t="shared" si="1"/>
        <v>3.9000000000000004</v>
      </c>
      <c r="E37" s="3">
        <f t="shared" si="2"/>
        <v>0.33610627813438543</v>
      </c>
      <c r="F37" s="3">
        <f t="shared" si="0"/>
        <v>2.0262078906727181</v>
      </c>
      <c r="G37" s="8">
        <f t="shared" si="3"/>
        <v>1.006676951861369</v>
      </c>
      <c r="H37" s="80">
        <f t="shared" si="4"/>
        <v>3.9260401122593391</v>
      </c>
      <c r="I37" s="77">
        <f t="shared" si="5"/>
        <v>57.747919775481314</v>
      </c>
      <c r="J37" s="73">
        <f t="shared" si="6"/>
        <v>0.1196963448859555</v>
      </c>
    </row>
    <row r="38" spans="2:10" x14ac:dyDescent="0.2">
      <c r="B38" s="7">
        <f>B37+VLOOKUP('Temp&amp;RT'!$B$4,'Temp&amp;RT'!$A$6:$E$11,5)</f>
        <v>70.599999999999994</v>
      </c>
      <c r="C38" s="2">
        <f t="shared" si="1"/>
        <v>35</v>
      </c>
      <c r="D38" s="173">
        <f t="shared" si="1"/>
        <v>3.9000000000000004</v>
      </c>
      <c r="E38" s="3">
        <f t="shared" si="2"/>
        <v>0.33610627813438543</v>
      </c>
      <c r="F38" s="3">
        <f t="shared" si="0"/>
        <v>3.1793027159041087</v>
      </c>
      <c r="G38" s="8">
        <f t="shared" si="3"/>
        <v>0.72546062628493813</v>
      </c>
      <c r="H38" s="80">
        <f t="shared" si="4"/>
        <v>2.829296442511259</v>
      </c>
      <c r="I38" s="77">
        <f t="shared" si="5"/>
        <v>64.94140711497748</v>
      </c>
      <c r="J38" s="73">
        <f t="shared" si="6"/>
        <v>8.0150040864341576E-2</v>
      </c>
    </row>
    <row r="39" spans="2:10" x14ac:dyDescent="0.2">
      <c r="B39" s="7">
        <f t="shared" ref="B39:B56" si="7">B30</f>
        <v>30.6</v>
      </c>
      <c r="C39" s="2">
        <f t="shared" si="1"/>
        <v>35</v>
      </c>
      <c r="D39" s="173">
        <f>'RT&amp;Temp'!D34</f>
        <v>11.9</v>
      </c>
      <c r="E39" s="3">
        <f t="shared" si="2"/>
        <v>0.33610627813438543</v>
      </c>
      <c r="F39" s="3">
        <f t="shared" si="0"/>
        <v>0.62253961383951628</v>
      </c>
      <c r="G39" s="8">
        <f t="shared" si="3"/>
        <v>0.95826747544732094</v>
      </c>
      <c r="H39" s="80">
        <f t="shared" si="4"/>
        <v>11.403382957823119</v>
      </c>
      <c r="I39" s="77">
        <f t="shared" si="5"/>
        <v>7.7932340843537631</v>
      </c>
      <c r="J39" s="73">
        <f t="shared" si="6"/>
        <v>0.74531914757013851</v>
      </c>
    </row>
    <row r="40" spans="2:10" x14ac:dyDescent="0.2">
      <c r="B40" s="7">
        <f t="shared" si="7"/>
        <v>35.6</v>
      </c>
      <c r="C40" s="2">
        <f t="shared" si="1"/>
        <v>35</v>
      </c>
      <c r="D40" s="173">
        <f t="shared" si="1"/>
        <v>11.9</v>
      </c>
      <c r="E40" s="3">
        <f t="shared" si="2"/>
        <v>0.33610627813438543</v>
      </c>
      <c r="F40" s="3">
        <f t="shared" si="0"/>
        <v>0.64076298243187557</v>
      </c>
      <c r="G40" s="8">
        <f t="shared" si="3"/>
        <v>1.1092663911264375</v>
      </c>
      <c r="H40" s="80">
        <f t="shared" si="4"/>
        <v>13.200270054404607</v>
      </c>
      <c r="I40" s="77">
        <f t="shared" si="5"/>
        <v>9.1994598911907879</v>
      </c>
      <c r="J40" s="73">
        <f t="shared" si="6"/>
        <v>0.74158820530362957</v>
      </c>
    </row>
    <row r="41" spans="2:10" x14ac:dyDescent="0.2">
      <c r="B41" s="7">
        <f t="shared" si="7"/>
        <v>40.6</v>
      </c>
      <c r="C41" s="2">
        <f t="shared" si="1"/>
        <v>35</v>
      </c>
      <c r="D41" s="173">
        <f t="shared" si="1"/>
        <v>11.9</v>
      </c>
      <c r="E41" s="3">
        <f t="shared" si="2"/>
        <v>0.33610627813438543</v>
      </c>
      <c r="F41" s="3">
        <f t="shared" si="0"/>
        <v>0.67372001794583769</v>
      </c>
      <c r="G41" s="8">
        <f t="shared" si="3"/>
        <v>1.2537122913055865</v>
      </c>
      <c r="H41" s="80">
        <f t="shared" si="4"/>
        <v>14.91917626653648</v>
      </c>
      <c r="I41" s="77">
        <f t="shared" si="5"/>
        <v>10.761647466927041</v>
      </c>
      <c r="J41" s="73">
        <f t="shared" si="6"/>
        <v>0.73493479145499896</v>
      </c>
    </row>
    <row r="42" spans="2:10" x14ac:dyDescent="0.2">
      <c r="B42" s="7">
        <f t="shared" si="7"/>
        <v>45.6</v>
      </c>
      <c r="C42" s="2">
        <f t="shared" si="1"/>
        <v>35</v>
      </c>
      <c r="D42" s="173">
        <f t="shared" si="1"/>
        <v>11.9</v>
      </c>
      <c r="E42" s="3">
        <f t="shared" si="2"/>
        <v>0.33610627813438543</v>
      </c>
      <c r="F42" s="3">
        <f t="shared" si="0"/>
        <v>0.73332294944358356</v>
      </c>
      <c r="G42" s="8">
        <f t="shared" si="3"/>
        <v>1.3856276933065639</v>
      </c>
      <c r="H42" s="80">
        <f t="shared" si="4"/>
        <v>16.488969550348109</v>
      </c>
      <c r="I42" s="77">
        <f t="shared" si="5"/>
        <v>12.622060899303783</v>
      </c>
      <c r="J42" s="73">
        <f t="shared" si="6"/>
        <v>0.72320041887491704</v>
      </c>
    </row>
    <row r="43" spans="2:10" x14ac:dyDescent="0.2">
      <c r="B43" s="7">
        <f t="shared" si="7"/>
        <v>50.6</v>
      </c>
      <c r="C43" s="2">
        <f t="shared" si="1"/>
        <v>35</v>
      </c>
      <c r="D43" s="173">
        <f t="shared" si="1"/>
        <v>11.9</v>
      </c>
      <c r="E43" s="3">
        <f t="shared" si="2"/>
        <v>0.33610627813438543</v>
      </c>
      <c r="F43" s="3">
        <f t="shared" si="0"/>
        <v>0.84111509117368499</v>
      </c>
      <c r="G43" s="8">
        <f t="shared" si="3"/>
        <v>1.4944086545953059</v>
      </c>
      <c r="H43" s="80">
        <f t="shared" si="4"/>
        <v>17.783462989684139</v>
      </c>
      <c r="I43" s="77">
        <f t="shared" si="5"/>
        <v>15.033074020631723</v>
      </c>
      <c r="J43" s="73">
        <f t="shared" si="6"/>
        <v>0.7029036754815865</v>
      </c>
    </row>
    <row r="44" spans="2:10" x14ac:dyDescent="0.2">
      <c r="B44" s="7">
        <f t="shared" si="7"/>
        <v>55.6</v>
      </c>
      <c r="C44" s="2">
        <f t="shared" si="1"/>
        <v>35</v>
      </c>
      <c r="D44" s="173">
        <f t="shared" si="1"/>
        <v>11.9</v>
      </c>
      <c r="E44" s="3">
        <f t="shared" si="2"/>
        <v>0.33610627813438543</v>
      </c>
      <c r="F44" s="3">
        <f t="shared" si="0"/>
        <v>1.0360576137441002</v>
      </c>
      <c r="G44" s="8">
        <f t="shared" si="3"/>
        <v>1.5627581793044825</v>
      </c>
      <c r="H44" s="80">
        <f t="shared" si="4"/>
        <v>18.596822333723342</v>
      </c>
      <c r="I44" s="77">
        <f t="shared" si="5"/>
        <v>18.406355332553318</v>
      </c>
      <c r="J44" s="73">
        <f t="shared" si="6"/>
        <v>0.66895044365911305</v>
      </c>
    </row>
    <row r="45" spans="2:10" x14ac:dyDescent="0.2">
      <c r="B45" s="7">
        <f t="shared" si="7"/>
        <v>60.6</v>
      </c>
      <c r="C45" s="2">
        <f t="shared" si="1"/>
        <v>35</v>
      </c>
      <c r="D45" s="173">
        <f t="shared" si="1"/>
        <v>11.9</v>
      </c>
      <c r="E45" s="3">
        <f t="shared" ref="E45:E56" si="8">IF(C45&lt;5,0,IF(C45&gt;60,NA(),0.566*(1+1110*EXP(-1*0.187*C45))^(1/(1-2.83))))</f>
        <v>0.33610627813438543</v>
      </c>
      <c r="F45" s="3">
        <f t="shared" si="0"/>
        <v>1.3886119511583328</v>
      </c>
      <c r="G45" s="8">
        <f t="shared" si="3"/>
        <v>1.5664512739653293</v>
      </c>
      <c r="H45" s="80">
        <f t="shared" si="4"/>
        <v>18.640770160187419</v>
      </c>
      <c r="I45" s="77">
        <f t="shared" si="5"/>
        <v>23.318459679625164</v>
      </c>
      <c r="J45" s="73">
        <f t="shared" si="6"/>
        <v>0.61520693597978282</v>
      </c>
    </row>
    <row r="46" spans="2:10" x14ac:dyDescent="0.2">
      <c r="B46" s="7">
        <f t="shared" si="7"/>
        <v>65.599999999999994</v>
      </c>
      <c r="C46" s="2">
        <f t="shared" si="1"/>
        <v>35</v>
      </c>
      <c r="D46" s="173">
        <f t="shared" si="1"/>
        <v>11.9</v>
      </c>
      <c r="E46" s="3">
        <f t="shared" si="8"/>
        <v>0.33610627813438543</v>
      </c>
      <c r="F46" s="3">
        <f t="shared" si="0"/>
        <v>2.0262078906727181</v>
      </c>
      <c r="G46" s="8">
        <f t="shared" si="3"/>
        <v>1.4805757433884825</v>
      </c>
      <c r="H46" s="80">
        <f t="shared" si="4"/>
        <v>17.618851346322941</v>
      </c>
      <c r="I46" s="77">
        <f t="shared" si="5"/>
        <v>30.362297307354112</v>
      </c>
      <c r="J46" s="73">
        <f t="shared" si="6"/>
        <v>0.5371601020220409</v>
      </c>
    </row>
    <row r="47" spans="2:10" x14ac:dyDescent="0.2">
      <c r="B47" s="7">
        <f t="shared" si="7"/>
        <v>70.599999999999994</v>
      </c>
      <c r="C47" s="2">
        <f t="shared" si="1"/>
        <v>35</v>
      </c>
      <c r="D47" s="173">
        <f t="shared" si="1"/>
        <v>11.9</v>
      </c>
      <c r="E47" s="3">
        <f t="shared" si="8"/>
        <v>0.33610627813438543</v>
      </c>
      <c r="F47" s="3">
        <f t="shared" si="0"/>
        <v>3.1793027159041087</v>
      </c>
      <c r="G47" s="8">
        <f t="shared" si="3"/>
        <v>1.296065831947357</v>
      </c>
      <c r="H47" s="80">
        <f t="shared" si="4"/>
        <v>15.423183400173549</v>
      </c>
      <c r="I47" s="77">
        <f t="shared" si="5"/>
        <v>39.753633199652896</v>
      </c>
      <c r="J47" s="73">
        <f t="shared" si="6"/>
        <v>0.43691737677545467</v>
      </c>
    </row>
    <row r="48" spans="2:10" x14ac:dyDescent="0.2">
      <c r="B48" s="7">
        <f t="shared" si="7"/>
        <v>30.6</v>
      </c>
      <c r="C48" s="2">
        <f t="shared" si="1"/>
        <v>35</v>
      </c>
      <c r="D48" s="173">
        <f>'RT&amp;Temp'!D38</f>
        <v>19.899999999999999</v>
      </c>
      <c r="E48" s="3">
        <f t="shared" si="8"/>
        <v>0.33610627813438543</v>
      </c>
      <c r="F48" s="3">
        <f t="shared" si="0"/>
        <v>0.62253961383951628</v>
      </c>
      <c r="G48" s="8">
        <f t="shared" si="3"/>
        <v>0.62370299932167883</v>
      </c>
      <c r="H48" s="80">
        <f t="shared" si="4"/>
        <v>12.411689686501408</v>
      </c>
      <c r="I48" s="77">
        <f t="shared" si="5"/>
        <v>5.776620626997186</v>
      </c>
      <c r="J48" s="73">
        <f t="shared" si="6"/>
        <v>0.81122154813734682</v>
      </c>
    </row>
    <row r="49" spans="2:10" x14ac:dyDescent="0.2">
      <c r="B49" s="7">
        <f t="shared" si="7"/>
        <v>35.6</v>
      </c>
      <c r="C49" s="2">
        <f t="shared" si="1"/>
        <v>35</v>
      </c>
      <c r="D49" s="173">
        <f t="shared" si="1"/>
        <v>19.899999999999999</v>
      </c>
      <c r="E49" s="3">
        <f t="shared" si="8"/>
        <v>0.33610627813438543</v>
      </c>
      <c r="F49" s="3">
        <f t="shared" si="0"/>
        <v>0.64076298243187557</v>
      </c>
      <c r="G49" s="8">
        <f t="shared" si="3"/>
        <v>0.72352604987739078</v>
      </c>
      <c r="H49" s="80">
        <f t="shared" si="4"/>
        <v>14.398168392560075</v>
      </c>
      <c r="I49" s="77">
        <f t="shared" si="5"/>
        <v>6.803663214879851</v>
      </c>
      <c r="J49" s="73">
        <f t="shared" si="6"/>
        <v>0.80888586475056601</v>
      </c>
    </row>
    <row r="50" spans="2:10" x14ac:dyDescent="0.2">
      <c r="B50" s="7">
        <f t="shared" si="7"/>
        <v>40.6</v>
      </c>
      <c r="C50" s="2">
        <f t="shared" si="1"/>
        <v>35</v>
      </c>
      <c r="D50" s="173">
        <f t="shared" si="1"/>
        <v>19.899999999999999</v>
      </c>
      <c r="E50" s="3">
        <f t="shared" si="8"/>
        <v>0.33610627813438543</v>
      </c>
      <c r="F50" s="3">
        <f t="shared" si="0"/>
        <v>0.67372001794583769</v>
      </c>
      <c r="G50" s="8">
        <f t="shared" si="3"/>
        <v>0.82087054124572556</v>
      </c>
      <c r="H50" s="80">
        <f t="shared" si="4"/>
        <v>16.335323770789937</v>
      </c>
      <c r="I50" s="77">
        <f t="shared" si="5"/>
        <v>7.9293524584201265</v>
      </c>
      <c r="J50" s="73">
        <f t="shared" si="6"/>
        <v>0.80469575225566192</v>
      </c>
    </row>
    <row r="51" spans="2:10" x14ac:dyDescent="0.2">
      <c r="B51" s="7">
        <f t="shared" si="7"/>
        <v>45.6</v>
      </c>
      <c r="C51" s="2">
        <f t="shared" si="1"/>
        <v>35</v>
      </c>
      <c r="D51" s="173">
        <f t="shared" si="1"/>
        <v>19.899999999999999</v>
      </c>
      <c r="E51" s="3">
        <f t="shared" si="8"/>
        <v>0.33610627813438543</v>
      </c>
      <c r="F51" s="3">
        <f t="shared" si="0"/>
        <v>0.73332294944358356</v>
      </c>
      <c r="G51" s="8">
        <f t="shared" si="3"/>
        <v>0.91340596790013706</v>
      </c>
      <c r="H51" s="80">
        <f t="shared" si="4"/>
        <v>18.176778761212727</v>
      </c>
      <c r="I51" s="77">
        <f t="shared" si="5"/>
        <v>9.2464424775745471</v>
      </c>
      <c r="J51" s="73">
        <f t="shared" si="6"/>
        <v>0.79722713864968098</v>
      </c>
    </row>
    <row r="52" spans="2:10" x14ac:dyDescent="0.2">
      <c r="B52" s="7">
        <f t="shared" si="7"/>
        <v>50.6</v>
      </c>
      <c r="C52" s="2">
        <f t="shared" si="1"/>
        <v>35</v>
      </c>
      <c r="D52" s="173">
        <f t="shared" si="1"/>
        <v>19.899999999999999</v>
      </c>
      <c r="E52" s="3">
        <f t="shared" si="8"/>
        <v>0.33610627813438543</v>
      </c>
      <c r="F52" s="3">
        <f t="shared" si="0"/>
        <v>0.84111509117368499</v>
      </c>
      <c r="G52" s="8">
        <f t="shared" si="3"/>
        <v>0.99682812374161855</v>
      </c>
      <c r="H52" s="80">
        <f t="shared" si="4"/>
        <v>19.836879662458209</v>
      </c>
      <c r="I52" s="77">
        <f t="shared" si="5"/>
        <v>10.926240675083584</v>
      </c>
      <c r="J52" s="73">
        <f t="shared" si="6"/>
        <v>0.78406638982048249</v>
      </c>
    </row>
    <row r="53" spans="2:10" x14ac:dyDescent="0.2">
      <c r="B53" s="7">
        <f t="shared" si="7"/>
        <v>55.6</v>
      </c>
      <c r="C53" s="2">
        <f t="shared" si="1"/>
        <v>35</v>
      </c>
      <c r="D53" s="173">
        <f t="shared" si="1"/>
        <v>19.899999999999999</v>
      </c>
      <c r="E53" s="3">
        <f t="shared" si="8"/>
        <v>0.33610627813438543</v>
      </c>
      <c r="F53" s="3">
        <f t="shared" si="0"/>
        <v>1.0360576137441002</v>
      </c>
      <c r="G53" s="8">
        <f t="shared" si="3"/>
        <v>1.0635758027818421</v>
      </c>
      <c r="H53" s="80">
        <f t="shared" si="4"/>
        <v>21.165158475358655</v>
      </c>
      <c r="I53" s="77">
        <f t="shared" si="5"/>
        <v>13.26968304928269</v>
      </c>
      <c r="J53" s="73">
        <f t="shared" si="6"/>
        <v>0.76133663580426814</v>
      </c>
    </row>
    <row r="54" spans="2:10" x14ac:dyDescent="0.2">
      <c r="B54" s="7">
        <f t="shared" si="7"/>
        <v>60.6</v>
      </c>
      <c r="C54" s="2">
        <f t="shared" si="1"/>
        <v>35</v>
      </c>
      <c r="D54" s="173">
        <f t="shared" si="1"/>
        <v>19.899999999999999</v>
      </c>
      <c r="E54" s="3">
        <f t="shared" si="8"/>
        <v>0.33610627813438543</v>
      </c>
      <c r="F54" s="3">
        <f t="shared" si="0"/>
        <v>1.3886119511583328</v>
      </c>
      <c r="G54" s="8">
        <f t="shared" si="3"/>
        <v>1.1014733198178821</v>
      </c>
      <c r="H54" s="80">
        <f t="shared" si="4"/>
        <v>21.919319064375852</v>
      </c>
      <c r="I54" s="77">
        <f t="shared" si="5"/>
        <v>16.761361871248297</v>
      </c>
      <c r="J54" s="73">
        <f t="shared" si="6"/>
        <v>0.72340987011141422</v>
      </c>
    </row>
    <row r="55" spans="2:10" x14ac:dyDescent="0.2">
      <c r="B55" s="7">
        <f t="shared" si="7"/>
        <v>65.599999999999994</v>
      </c>
      <c r="C55" s="2">
        <f t="shared" si="1"/>
        <v>35</v>
      </c>
      <c r="D55" s="173">
        <f t="shared" si="1"/>
        <v>19.899999999999999</v>
      </c>
      <c r="E55" s="3">
        <f t="shared" si="8"/>
        <v>0.33610627813438543</v>
      </c>
      <c r="F55" s="3">
        <f t="shared" si="0"/>
        <v>2.0262078906727181</v>
      </c>
      <c r="G55" s="8">
        <f t="shared" si="3"/>
        <v>1.0938099055427337</v>
      </c>
      <c r="H55" s="80">
        <f t="shared" si="4"/>
        <v>21.766817120300399</v>
      </c>
      <c r="I55" s="77">
        <f t="shared" si="5"/>
        <v>22.066365759399197</v>
      </c>
      <c r="J55" s="73">
        <f t="shared" si="6"/>
        <v>0.6636224731798902</v>
      </c>
    </row>
    <row r="56" spans="2:10" ht="13.5" thickBot="1" x14ac:dyDescent="0.25">
      <c r="B56" s="9">
        <f t="shared" si="7"/>
        <v>70.599999999999994</v>
      </c>
      <c r="C56" s="10">
        <f t="shared" si="1"/>
        <v>35</v>
      </c>
      <c r="D56" s="174">
        <f t="shared" si="1"/>
        <v>19.899999999999999</v>
      </c>
      <c r="E56" s="11">
        <f t="shared" si="8"/>
        <v>0.33610627813438543</v>
      </c>
      <c r="F56" s="11">
        <f t="shared" si="0"/>
        <v>3.1793027159041087</v>
      </c>
      <c r="G56" s="13">
        <f t="shared" si="3"/>
        <v>1.0241092455788126</v>
      </c>
      <c r="H56" s="81">
        <f t="shared" si="4"/>
        <v>20.379773987018368</v>
      </c>
      <c r="I56" s="77">
        <f t="shared" si="5"/>
        <v>29.840452025963259</v>
      </c>
      <c r="J56" s="74">
        <f t="shared" si="6"/>
        <v>0.57733070784754592</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9" zoomScale="95" workbookViewId="0"/>
  </sheetViews>
  <sheetFormatPr defaultRowHeight="12.75" x14ac:dyDescent="0.2"/>
  <sheetData>
    <row r="1" spans="1:11" ht="13.5" thickBot="1" x14ac:dyDescent="0.25">
      <c r="A1" s="14" t="s">
        <v>12</v>
      </c>
      <c r="D1" s="212" t="s">
        <v>279</v>
      </c>
      <c r="I1" s="246" t="s">
        <v>211</v>
      </c>
      <c r="J1" s="247"/>
      <c r="K1" s="248"/>
    </row>
    <row r="2" spans="1:11" ht="15" thickBot="1" x14ac:dyDescent="0.25">
      <c r="A2" s="1" t="s">
        <v>13</v>
      </c>
      <c r="B2" t="s">
        <v>14</v>
      </c>
      <c r="C2" t="s">
        <v>15</v>
      </c>
      <c r="D2" t="s">
        <v>16</v>
      </c>
      <c r="E2" t="s">
        <v>17</v>
      </c>
      <c r="F2" t="s">
        <v>18</v>
      </c>
      <c r="G2" t="s">
        <v>19</v>
      </c>
    </row>
    <row r="3" spans="1:11" ht="15" customHeight="1" thickBot="1" x14ac:dyDescent="0.25">
      <c r="A3" t="s">
        <v>20</v>
      </c>
      <c r="B3" s="70">
        <f>Calculator!B43</f>
        <v>50.6</v>
      </c>
      <c r="C3" s="68"/>
      <c r="D3" s="52"/>
      <c r="E3" s="68"/>
      <c r="F3" s="56">
        <f>Calculator!B40</f>
        <v>11.9</v>
      </c>
      <c r="I3" s="246" t="s">
        <v>242</v>
      </c>
      <c r="J3" s="247"/>
      <c r="K3" s="248"/>
    </row>
    <row r="4" spans="1:11" ht="15" customHeight="1" x14ac:dyDescent="0.2">
      <c r="A4" t="s">
        <v>21</v>
      </c>
      <c r="B4" s="52"/>
      <c r="C4" s="52"/>
      <c r="D4" s="52"/>
      <c r="E4" s="52"/>
      <c r="F4" s="52"/>
    </row>
    <row r="25" spans="1:10" x14ac:dyDescent="0.2">
      <c r="E25" s="16" t="s">
        <v>22</v>
      </c>
      <c r="F25" s="17">
        <f>'Temp&amp;RT'!F25</f>
        <v>0.45</v>
      </c>
      <c r="G25" s="17" t="str">
        <f>'Temp&amp;RT'!G25</f>
        <v xml:space="preserve">For </v>
      </c>
      <c r="H25" s="49" t="str">
        <f>'Temp&amp;RT'!H25</f>
        <v>Piggery</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203</v>
      </c>
      <c r="J28" s="72" t="s">
        <v>204</v>
      </c>
    </row>
    <row r="29" spans="1:10" ht="15" thickBot="1" x14ac:dyDescent="0.25">
      <c r="B29" s="9" t="s">
        <v>15</v>
      </c>
      <c r="C29" s="10" t="s">
        <v>17</v>
      </c>
      <c r="D29" s="10" t="s">
        <v>19</v>
      </c>
      <c r="E29" s="10" t="s">
        <v>29</v>
      </c>
      <c r="F29" s="10"/>
      <c r="G29" s="12" t="s">
        <v>30</v>
      </c>
      <c r="H29" s="9" t="s">
        <v>31</v>
      </c>
      <c r="I29" s="9" t="s">
        <v>15</v>
      </c>
      <c r="J29" s="79" t="s">
        <v>205</v>
      </c>
    </row>
    <row r="30" spans="1:10" x14ac:dyDescent="0.2">
      <c r="B30" s="4">
        <f>'VS&amp;RT'!B30</f>
        <v>30.6</v>
      </c>
      <c r="C30" s="5">
        <f>'Temp&amp;RT'!C30</f>
        <v>15</v>
      </c>
      <c r="D30" s="5">
        <f>'RT&amp;Temp'!D34</f>
        <v>11.9</v>
      </c>
      <c r="E30" s="76">
        <f>IF(C30&lt;5,0,IF(C30&gt;60,NA(),0.566*(1+1110*EXP(-1*0.187*C30))^(1/(1-2.83))))</f>
        <v>5.6348056051357183E-2</v>
      </c>
      <c r="F30" s="76">
        <f t="shared" ref="F30:F56" si="0">0.6+0.0006*EXP(0.1185*B30)</f>
        <v>0.62253961383951628</v>
      </c>
      <c r="G30" s="8" t="str">
        <f>IF($D30&lt;1/$E30,"WshOut",$F$25*B30/D30*(1-F30/(E30*D30-1+F30)))</f>
        <v>WshOut</v>
      </c>
      <c r="H30" s="80">
        <f>IF($D30&lt;1/$E30,0,G30*D30)</f>
        <v>0</v>
      </c>
      <c r="I30" s="77">
        <f>B30-H30/0.5</f>
        <v>30.6</v>
      </c>
      <c r="J30" s="78">
        <f>(B30-I30)/B30</f>
        <v>0</v>
      </c>
    </row>
    <row r="31" spans="1:10" x14ac:dyDescent="0.2">
      <c r="B31" s="7">
        <f>B30</f>
        <v>30.6</v>
      </c>
      <c r="C31" s="2">
        <f>'Temp&amp;RT'!C31</f>
        <v>20</v>
      </c>
      <c r="D31" s="2">
        <f t="shared" ref="D31:D56" si="1">D30</f>
        <v>11.9</v>
      </c>
      <c r="E31" s="3">
        <f t="shared" ref="E31:E44" si="2">IF(C31&lt;5,0,IF(C31&gt;60,NA(),0.566*(1+1110*EXP(-1*0.187*C31))^(1/(1-2.83))))</f>
        <v>9.2778192724252737E-2</v>
      </c>
      <c r="F31" s="3">
        <f t="shared" si="0"/>
        <v>0.62253961383951628</v>
      </c>
      <c r="G31" s="8">
        <f t="shared" ref="G31:G56" si="3">IF($D31&lt;1/$E31,"WshOut",$F$25*B31/D31*(1-F31/(E31*D31-1+F31)))</f>
        <v>0.1657209453553336</v>
      </c>
      <c r="H31" s="80">
        <f t="shared" ref="H31:H56" si="4">IF($D31&lt;1/$E31,0,G31*D31)</f>
        <v>1.97207924972847</v>
      </c>
      <c r="I31" s="77">
        <f t="shared" ref="I31:I56" si="5">B31-H31/0.5</f>
        <v>26.655841500543062</v>
      </c>
      <c r="J31" s="73">
        <f t="shared" ref="J31:J56" si="6">(B31-I31)/B31</f>
        <v>0.1288940686097039</v>
      </c>
    </row>
    <row r="32" spans="1:10" x14ac:dyDescent="0.2">
      <c r="B32" s="7">
        <f>B31</f>
        <v>30.6</v>
      </c>
      <c r="C32" s="2">
        <f>'Temp&amp;RT'!C32</f>
        <v>25</v>
      </c>
      <c r="D32" s="2">
        <f t="shared" si="1"/>
        <v>11.9</v>
      </c>
      <c r="E32" s="3">
        <f t="shared" si="2"/>
        <v>0.15006799913832075</v>
      </c>
      <c r="F32" s="3">
        <f t="shared" si="0"/>
        <v>0.62253961383951628</v>
      </c>
      <c r="G32" s="8">
        <f t="shared" si="3"/>
        <v>0.64564509067415532</v>
      </c>
      <c r="H32" s="80">
        <f t="shared" si="4"/>
        <v>7.6831765790224482</v>
      </c>
      <c r="I32" s="77">
        <f t="shared" si="5"/>
        <v>15.233646841955105</v>
      </c>
      <c r="J32" s="73">
        <f t="shared" si="6"/>
        <v>0.50216840385767636</v>
      </c>
    </row>
    <row r="33" spans="2:10" x14ac:dyDescent="0.2">
      <c r="B33" s="7">
        <f>B32</f>
        <v>30.6</v>
      </c>
      <c r="C33" s="2">
        <f>'Temp&amp;RT'!C33</f>
        <v>30</v>
      </c>
      <c r="D33" s="2">
        <f t="shared" si="1"/>
        <v>11.9</v>
      </c>
      <c r="E33" s="3">
        <f t="shared" si="2"/>
        <v>0.23326908223852505</v>
      </c>
      <c r="F33" s="3">
        <f t="shared" si="0"/>
        <v>0.62253961383951628</v>
      </c>
      <c r="G33" s="8">
        <f t="shared" si="3"/>
        <v>0.85679481461920637</v>
      </c>
      <c r="H33" s="80">
        <f t="shared" si="4"/>
        <v>10.195858293968556</v>
      </c>
      <c r="I33" s="77">
        <f t="shared" si="5"/>
        <v>10.20828341206289</v>
      </c>
      <c r="J33" s="73">
        <f t="shared" si="6"/>
        <v>0.6663959669260493</v>
      </c>
    </row>
    <row r="34" spans="2:10" x14ac:dyDescent="0.2">
      <c r="B34" s="7">
        <f t="shared" ref="B34:B56" si="7">B33</f>
        <v>30.6</v>
      </c>
      <c r="C34" s="2">
        <f>'Temp&amp;RT'!C34</f>
        <v>35</v>
      </c>
      <c r="D34" s="2">
        <f t="shared" si="1"/>
        <v>11.9</v>
      </c>
      <c r="E34" s="3">
        <f t="shared" si="2"/>
        <v>0.33610627813438543</v>
      </c>
      <c r="F34" s="3">
        <f t="shared" si="0"/>
        <v>0.62253961383951628</v>
      </c>
      <c r="G34" s="8">
        <f t="shared" si="3"/>
        <v>0.95826747544732094</v>
      </c>
      <c r="H34" s="80">
        <f t="shared" si="4"/>
        <v>11.403382957823119</v>
      </c>
      <c r="I34" s="77">
        <f t="shared" si="5"/>
        <v>7.7932340843537631</v>
      </c>
      <c r="J34" s="73">
        <f t="shared" si="6"/>
        <v>0.74531914757013851</v>
      </c>
    </row>
    <row r="35" spans="2:10" x14ac:dyDescent="0.2">
      <c r="B35" s="7">
        <f t="shared" si="7"/>
        <v>30.6</v>
      </c>
      <c r="C35" s="2">
        <f>'Temp&amp;RT'!C35</f>
        <v>40</v>
      </c>
      <c r="D35" s="2">
        <f t="shared" si="1"/>
        <v>11.9</v>
      </c>
      <c r="E35" s="3">
        <f t="shared" si="2"/>
        <v>0.43391281694873673</v>
      </c>
      <c r="F35" s="3">
        <f t="shared" si="0"/>
        <v>0.62253961383951628</v>
      </c>
      <c r="G35" s="8">
        <f t="shared" si="3"/>
        <v>1.0066305515037353</v>
      </c>
      <c r="H35" s="80">
        <f t="shared" si="4"/>
        <v>11.97890356289445</v>
      </c>
      <c r="I35" s="77">
        <f t="shared" si="5"/>
        <v>6.6421928742111014</v>
      </c>
      <c r="J35" s="73">
        <f t="shared" si="6"/>
        <v>0.78293487339179413</v>
      </c>
    </row>
    <row r="36" spans="2:10" x14ac:dyDescent="0.2">
      <c r="B36" s="7">
        <f t="shared" si="7"/>
        <v>30.6</v>
      </c>
      <c r="C36" s="2">
        <f>'Temp&amp;RT'!C36</f>
        <v>45</v>
      </c>
      <c r="D36" s="2">
        <f t="shared" si="1"/>
        <v>11.9</v>
      </c>
      <c r="E36" s="3">
        <f t="shared" si="2"/>
        <v>0.50192909834520427</v>
      </c>
      <c r="F36" s="3">
        <f t="shared" si="0"/>
        <v>0.62253961383951628</v>
      </c>
      <c r="G36" s="8">
        <f t="shared" si="3"/>
        <v>1.0284022982437371</v>
      </c>
      <c r="H36" s="80">
        <f t="shared" si="4"/>
        <v>12.237987349100472</v>
      </c>
      <c r="I36" s="77">
        <f t="shared" si="5"/>
        <v>6.1240253017990582</v>
      </c>
      <c r="J36" s="73">
        <f t="shared" si="6"/>
        <v>0.79986845418957331</v>
      </c>
    </row>
    <row r="37" spans="2:10" x14ac:dyDescent="0.2">
      <c r="B37" s="7">
        <f t="shared" si="7"/>
        <v>30.6</v>
      </c>
      <c r="C37" s="2">
        <f>'Temp&amp;RT'!C37</f>
        <v>50</v>
      </c>
      <c r="D37" s="2">
        <f t="shared" si="1"/>
        <v>11.9</v>
      </c>
      <c r="E37" s="3">
        <f t="shared" si="2"/>
        <v>0.53820403085336554</v>
      </c>
      <c r="F37" s="3">
        <f t="shared" si="0"/>
        <v>0.62253961383951628</v>
      </c>
      <c r="G37" s="8">
        <f t="shared" si="3"/>
        <v>1.037622824264661</v>
      </c>
      <c r="H37" s="80">
        <f t="shared" si="4"/>
        <v>12.347711608749467</v>
      </c>
      <c r="I37" s="77">
        <f t="shared" si="5"/>
        <v>5.9045767825010671</v>
      </c>
      <c r="J37" s="73">
        <f t="shared" si="6"/>
        <v>0.80703997442806974</v>
      </c>
    </row>
    <row r="38" spans="2:10" x14ac:dyDescent="0.2">
      <c r="B38" s="7">
        <f t="shared" si="7"/>
        <v>30.6</v>
      </c>
      <c r="C38" s="2">
        <f>'Temp&amp;RT'!C38</f>
        <v>55</v>
      </c>
      <c r="D38" s="2">
        <f t="shared" si="1"/>
        <v>11.9</v>
      </c>
      <c r="E38" s="3">
        <f t="shared" si="2"/>
        <v>0.55461164043194688</v>
      </c>
      <c r="F38" s="3">
        <f t="shared" si="0"/>
        <v>0.62253961383951628</v>
      </c>
      <c r="G38" s="8">
        <f t="shared" si="3"/>
        <v>1.0413731914250741</v>
      </c>
      <c r="H38" s="80">
        <f t="shared" si="4"/>
        <v>12.392340977958382</v>
      </c>
      <c r="I38" s="77">
        <f t="shared" si="5"/>
        <v>5.8153180440832379</v>
      </c>
      <c r="J38" s="73">
        <f t="shared" si="6"/>
        <v>0.80995692666394647</v>
      </c>
    </row>
    <row r="39" spans="2:10" x14ac:dyDescent="0.2">
      <c r="B39" s="7">
        <f>'VS&amp;RT'!B34</f>
        <v>50.6</v>
      </c>
      <c r="C39" s="2">
        <f>'Temp&amp;RT'!C39</f>
        <v>15</v>
      </c>
      <c r="D39" s="2">
        <f t="shared" si="1"/>
        <v>11.9</v>
      </c>
      <c r="E39" s="3">
        <f t="shared" si="2"/>
        <v>5.6348056051357183E-2</v>
      </c>
      <c r="F39" s="3">
        <f t="shared" si="0"/>
        <v>0.84111509117368499</v>
      </c>
      <c r="G39" s="8" t="str">
        <f t="shared" si="3"/>
        <v>WshOut</v>
      </c>
      <c r="H39" s="80">
        <f t="shared" si="4"/>
        <v>0</v>
      </c>
      <c r="I39" s="77">
        <f t="shared" si="5"/>
        <v>50.6</v>
      </c>
      <c r="J39" s="73">
        <f t="shared" si="6"/>
        <v>0</v>
      </c>
    </row>
    <row r="40" spans="2:10" x14ac:dyDescent="0.2">
      <c r="B40" s="7">
        <f t="shared" si="7"/>
        <v>50.6</v>
      </c>
      <c r="C40" s="2">
        <f>'Temp&amp;RT'!C40</f>
        <v>20</v>
      </c>
      <c r="D40" s="2">
        <f t="shared" si="1"/>
        <v>11.9</v>
      </c>
      <c r="E40" s="3">
        <f t="shared" si="2"/>
        <v>9.2778192724252737E-2</v>
      </c>
      <c r="F40" s="3">
        <f t="shared" si="0"/>
        <v>0.84111509117368499</v>
      </c>
      <c r="G40" s="8">
        <f t="shared" si="3"/>
        <v>0.21066357767362701</v>
      </c>
      <c r="H40" s="80">
        <f t="shared" si="4"/>
        <v>2.5068965743161615</v>
      </c>
      <c r="I40" s="77">
        <f t="shared" si="5"/>
        <v>45.586206851367677</v>
      </c>
      <c r="J40" s="73">
        <f t="shared" si="6"/>
        <v>9.9086821119215879E-2</v>
      </c>
    </row>
    <row r="41" spans="2:10" x14ac:dyDescent="0.2">
      <c r="B41" s="7">
        <f t="shared" si="7"/>
        <v>50.6</v>
      </c>
      <c r="C41" s="2">
        <f>'Temp&amp;RT'!C41</f>
        <v>25</v>
      </c>
      <c r="D41" s="2">
        <f t="shared" si="1"/>
        <v>11.9</v>
      </c>
      <c r="E41" s="3">
        <f t="shared" si="2"/>
        <v>0.15006799913832075</v>
      </c>
      <c r="F41" s="3">
        <f t="shared" si="0"/>
        <v>0.84111509117368499</v>
      </c>
      <c r="G41" s="8">
        <f t="shared" si="3"/>
        <v>0.92419971836569714</v>
      </c>
      <c r="H41" s="80">
        <f t="shared" si="4"/>
        <v>10.997976648551797</v>
      </c>
      <c r="I41" s="77">
        <f t="shared" si="5"/>
        <v>28.604046702896408</v>
      </c>
      <c r="J41" s="73">
        <f t="shared" si="6"/>
        <v>0.43470263433011053</v>
      </c>
    </row>
    <row r="42" spans="2:10" x14ac:dyDescent="0.2">
      <c r="B42" s="7">
        <f t="shared" si="7"/>
        <v>50.6</v>
      </c>
      <c r="C42" s="2">
        <f>'Temp&amp;RT'!C42</f>
        <v>30</v>
      </c>
      <c r="D42" s="2">
        <f t="shared" si="1"/>
        <v>11.9</v>
      </c>
      <c r="E42" s="3">
        <f t="shared" si="2"/>
        <v>0.23326908223852505</v>
      </c>
      <c r="F42" s="3">
        <f t="shared" si="0"/>
        <v>0.84111509117368499</v>
      </c>
      <c r="G42" s="8">
        <f t="shared" si="3"/>
        <v>1.2984598128043203</v>
      </c>
      <c r="H42" s="80">
        <f t="shared" si="4"/>
        <v>15.451671772371412</v>
      </c>
      <c r="I42" s="77">
        <f t="shared" si="5"/>
        <v>19.696656455257177</v>
      </c>
      <c r="J42" s="73">
        <f t="shared" si="6"/>
        <v>0.61073801471823763</v>
      </c>
    </row>
    <row r="43" spans="2:10" x14ac:dyDescent="0.2">
      <c r="B43" s="7">
        <f t="shared" si="7"/>
        <v>50.6</v>
      </c>
      <c r="C43" s="2">
        <f>'Temp&amp;RT'!C43</f>
        <v>35</v>
      </c>
      <c r="D43" s="2">
        <f t="shared" si="1"/>
        <v>11.9</v>
      </c>
      <c r="E43" s="3">
        <f t="shared" si="2"/>
        <v>0.33610627813438543</v>
      </c>
      <c r="F43" s="3">
        <f t="shared" si="0"/>
        <v>0.84111509117368499</v>
      </c>
      <c r="G43" s="8">
        <f t="shared" si="3"/>
        <v>1.4944086545953059</v>
      </c>
      <c r="H43" s="80">
        <f t="shared" si="4"/>
        <v>17.783462989684139</v>
      </c>
      <c r="I43" s="77">
        <f t="shared" si="5"/>
        <v>15.033074020631723</v>
      </c>
      <c r="J43" s="73">
        <f t="shared" si="6"/>
        <v>0.7029036754815865</v>
      </c>
    </row>
    <row r="44" spans="2:10" x14ac:dyDescent="0.2">
      <c r="B44" s="7">
        <f t="shared" si="7"/>
        <v>50.6</v>
      </c>
      <c r="C44" s="2">
        <f>'Temp&amp;RT'!C44</f>
        <v>40</v>
      </c>
      <c r="D44" s="2">
        <f t="shared" si="1"/>
        <v>11.9</v>
      </c>
      <c r="E44" s="3">
        <f t="shared" si="2"/>
        <v>0.43391281694873673</v>
      </c>
      <c r="F44" s="3">
        <f t="shared" si="0"/>
        <v>0.84111509117368499</v>
      </c>
      <c r="G44" s="8">
        <f t="shared" si="3"/>
        <v>1.5918606711637793</v>
      </c>
      <c r="H44" s="80">
        <f t="shared" si="4"/>
        <v>18.943141986848975</v>
      </c>
      <c r="I44" s="77">
        <f t="shared" si="5"/>
        <v>12.713716026302052</v>
      </c>
      <c r="J44" s="73">
        <f t="shared" si="6"/>
        <v>0.7487407899940306</v>
      </c>
    </row>
    <row r="45" spans="2:10" x14ac:dyDescent="0.2">
      <c r="B45" s="7">
        <f t="shared" si="7"/>
        <v>50.6</v>
      </c>
      <c r="C45" s="2">
        <f>'Temp&amp;RT'!C45</f>
        <v>45</v>
      </c>
      <c r="D45" s="2">
        <f t="shared" si="1"/>
        <v>11.9</v>
      </c>
      <c r="E45" s="3">
        <f t="shared" ref="E45:E56" si="8">IF(C45&lt;5,0,IF(C45&gt;60,NA(),0.566*(1+1110*EXP(-1*0.187*C45))^(1/(1-2.83))))</f>
        <v>0.50192909834520427</v>
      </c>
      <c r="F45" s="3">
        <f t="shared" si="0"/>
        <v>0.84111509117368499</v>
      </c>
      <c r="G45" s="8">
        <f t="shared" si="3"/>
        <v>1.6366294115702398</v>
      </c>
      <c r="H45" s="80">
        <f t="shared" si="4"/>
        <v>19.475889997685854</v>
      </c>
      <c r="I45" s="77">
        <f t="shared" si="5"/>
        <v>11.648220004628293</v>
      </c>
      <c r="J45" s="73">
        <f t="shared" si="6"/>
        <v>0.76979802362394678</v>
      </c>
    </row>
    <row r="46" spans="2:10" x14ac:dyDescent="0.2">
      <c r="B46" s="7">
        <f t="shared" si="7"/>
        <v>50.6</v>
      </c>
      <c r="C46" s="2">
        <f>'Temp&amp;RT'!C46</f>
        <v>50</v>
      </c>
      <c r="D46" s="2">
        <f t="shared" si="1"/>
        <v>11.9</v>
      </c>
      <c r="E46" s="3">
        <f t="shared" si="8"/>
        <v>0.53820403085336554</v>
      </c>
      <c r="F46" s="3">
        <f t="shared" si="0"/>
        <v>0.84111509117368499</v>
      </c>
      <c r="G46" s="8">
        <f t="shared" si="3"/>
        <v>1.6557614214676144</v>
      </c>
      <c r="H46" s="80">
        <f t="shared" si="4"/>
        <v>19.70356091546461</v>
      </c>
      <c r="I46" s="77">
        <f t="shared" si="5"/>
        <v>11.192878169070781</v>
      </c>
      <c r="J46" s="73">
        <f t="shared" si="6"/>
        <v>0.77879687412903598</v>
      </c>
    </row>
    <row r="47" spans="2:10" x14ac:dyDescent="0.2">
      <c r="B47" s="7">
        <f t="shared" si="7"/>
        <v>50.6</v>
      </c>
      <c r="C47" s="2">
        <f>'Temp&amp;RT'!C47</f>
        <v>55</v>
      </c>
      <c r="D47" s="2">
        <f t="shared" si="1"/>
        <v>11.9</v>
      </c>
      <c r="E47" s="3">
        <f t="shared" si="8"/>
        <v>0.55461164043194688</v>
      </c>
      <c r="F47" s="3">
        <f t="shared" si="0"/>
        <v>0.84111509117368499</v>
      </c>
      <c r="G47" s="8">
        <f t="shared" si="3"/>
        <v>1.6635727838635299</v>
      </c>
      <c r="H47" s="80">
        <f t="shared" si="4"/>
        <v>19.796516127976005</v>
      </c>
      <c r="I47" s="77">
        <f t="shared" si="5"/>
        <v>11.006967744047991</v>
      </c>
      <c r="J47" s="73">
        <f t="shared" si="6"/>
        <v>0.78247099320063263</v>
      </c>
    </row>
    <row r="48" spans="2:10" x14ac:dyDescent="0.2">
      <c r="B48" s="7">
        <f>'VS&amp;RT'!B38</f>
        <v>70.599999999999994</v>
      </c>
      <c r="C48" s="2">
        <f>'Temp&amp;RT'!C48</f>
        <v>15</v>
      </c>
      <c r="D48" s="2">
        <f t="shared" si="1"/>
        <v>11.9</v>
      </c>
      <c r="E48" s="3">
        <f t="shared" si="8"/>
        <v>5.6348056051357183E-2</v>
      </c>
      <c r="F48" s="3">
        <f t="shared" si="0"/>
        <v>3.1793027159041087</v>
      </c>
      <c r="G48" s="8" t="str">
        <f t="shared" si="3"/>
        <v>WshOut</v>
      </c>
      <c r="H48" s="80">
        <f t="shared" si="4"/>
        <v>0</v>
      </c>
      <c r="I48" s="77">
        <f t="shared" si="5"/>
        <v>70.599999999999994</v>
      </c>
      <c r="J48" s="73">
        <f t="shared" si="6"/>
        <v>0</v>
      </c>
    </row>
    <row r="49" spans="2:10" x14ac:dyDescent="0.2">
      <c r="B49" s="7">
        <f t="shared" si="7"/>
        <v>70.599999999999994</v>
      </c>
      <c r="C49" s="2">
        <f>'Temp&amp;RT'!C49</f>
        <v>20</v>
      </c>
      <c r="D49" s="2">
        <f t="shared" si="1"/>
        <v>11.9</v>
      </c>
      <c r="E49" s="3">
        <f t="shared" si="8"/>
        <v>9.2778192724252737E-2</v>
      </c>
      <c r="F49" s="3">
        <f t="shared" si="0"/>
        <v>3.1793027159041087</v>
      </c>
      <c r="G49" s="8">
        <f t="shared" si="3"/>
        <v>8.4613022068658728E-2</v>
      </c>
      <c r="H49" s="80">
        <f t="shared" si="4"/>
        <v>1.0068949626170389</v>
      </c>
      <c r="I49" s="77">
        <f t="shared" si="5"/>
        <v>68.586210074765916</v>
      </c>
      <c r="J49" s="73">
        <f t="shared" si="6"/>
        <v>2.8523936618046444E-2</v>
      </c>
    </row>
    <row r="50" spans="2:10" x14ac:dyDescent="0.2">
      <c r="B50" s="7">
        <f t="shared" si="7"/>
        <v>70.599999999999994</v>
      </c>
      <c r="C50" s="2">
        <f>'Temp&amp;RT'!C50</f>
        <v>25</v>
      </c>
      <c r="D50" s="2">
        <f t="shared" si="1"/>
        <v>11.9</v>
      </c>
      <c r="E50" s="3">
        <f t="shared" si="8"/>
        <v>0.15006799913832075</v>
      </c>
      <c r="F50" s="3">
        <f t="shared" si="0"/>
        <v>3.1793027159041087</v>
      </c>
      <c r="G50" s="8">
        <f t="shared" si="3"/>
        <v>0.52909286884825246</v>
      </c>
      <c r="H50" s="80">
        <f t="shared" si="4"/>
        <v>6.2962051392942042</v>
      </c>
      <c r="I50" s="77">
        <f t="shared" si="5"/>
        <v>58.007589721411584</v>
      </c>
      <c r="J50" s="73">
        <f t="shared" si="6"/>
        <v>0.1783627518213656</v>
      </c>
    </row>
    <row r="51" spans="2:10" x14ac:dyDescent="0.2">
      <c r="B51" s="7">
        <f t="shared" si="7"/>
        <v>70.599999999999994</v>
      </c>
      <c r="C51" s="2">
        <f>'Temp&amp;RT'!C51</f>
        <v>30</v>
      </c>
      <c r="D51" s="2">
        <f t="shared" si="1"/>
        <v>11.9</v>
      </c>
      <c r="E51" s="3">
        <f t="shared" si="8"/>
        <v>0.23326908223852505</v>
      </c>
      <c r="F51" s="3">
        <f t="shared" si="0"/>
        <v>3.1793027159041087</v>
      </c>
      <c r="G51" s="8">
        <f t="shared" si="3"/>
        <v>0.95681430740865359</v>
      </c>
      <c r="H51" s="80">
        <f t="shared" si="4"/>
        <v>11.386090258162978</v>
      </c>
      <c r="I51" s="77">
        <f t="shared" si="5"/>
        <v>47.827819483674034</v>
      </c>
      <c r="J51" s="73">
        <f t="shared" si="6"/>
        <v>0.32255213195929122</v>
      </c>
    </row>
    <row r="52" spans="2:10" x14ac:dyDescent="0.2">
      <c r="B52" s="7">
        <f t="shared" si="7"/>
        <v>70.599999999999994</v>
      </c>
      <c r="C52" s="2">
        <f>'Temp&amp;RT'!C52</f>
        <v>35</v>
      </c>
      <c r="D52" s="2">
        <f t="shared" si="1"/>
        <v>11.9</v>
      </c>
      <c r="E52" s="3">
        <f t="shared" si="8"/>
        <v>0.33610627813438543</v>
      </c>
      <c r="F52" s="3">
        <f t="shared" si="0"/>
        <v>3.1793027159041087</v>
      </c>
      <c r="G52" s="8">
        <f t="shared" si="3"/>
        <v>1.296065831947357</v>
      </c>
      <c r="H52" s="80">
        <f t="shared" si="4"/>
        <v>15.423183400173549</v>
      </c>
      <c r="I52" s="77">
        <f t="shared" si="5"/>
        <v>39.753633199652896</v>
      </c>
      <c r="J52" s="73">
        <f t="shared" si="6"/>
        <v>0.43691737677545467</v>
      </c>
    </row>
    <row r="53" spans="2:10" x14ac:dyDescent="0.2">
      <c r="B53" s="7">
        <f t="shared" si="7"/>
        <v>70.599999999999994</v>
      </c>
      <c r="C53" s="2">
        <f>'Temp&amp;RT'!C53</f>
        <v>40</v>
      </c>
      <c r="D53" s="2">
        <f t="shared" si="1"/>
        <v>11.9</v>
      </c>
      <c r="E53" s="3">
        <f t="shared" si="8"/>
        <v>0.43391281694873673</v>
      </c>
      <c r="F53" s="3">
        <f t="shared" si="0"/>
        <v>3.1793027159041087</v>
      </c>
      <c r="G53" s="8">
        <f t="shared" si="3"/>
        <v>1.5138044803534758</v>
      </c>
      <c r="H53" s="80">
        <f t="shared" si="4"/>
        <v>18.014273316206364</v>
      </c>
      <c r="I53" s="77">
        <f t="shared" si="5"/>
        <v>34.571453367587267</v>
      </c>
      <c r="J53" s="73">
        <f t="shared" si="6"/>
        <v>0.51031935739961376</v>
      </c>
    </row>
    <row r="54" spans="2:10" x14ac:dyDescent="0.2">
      <c r="B54" s="7">
        <f t="shared" si="7"/>
        <v>70.599999999999994</v>
      </c>
      <c r="C54" s="2">
        <f>'Temp&amp;RT'!C54</f>
        <v>45</v>
      </c>
      <c r="D54" s="2">
        <f t="shared" si="1"/>
        <v>11.9</v>
      </c>
      <c r="E54" s="3">
        <f t="shared" si="8"/>
        <v>0.50192909834520427</v>
      </c>
      <c r="F54" s="3">
        <f t="shared" si="0"/>
        <v>3.1793027159041087</v>
      </c>
      <c r="G54" s="8">
        <f t="shared" si="3"/>
        <v>1.6285718569199237</v>
      </c>
      <c r="H54" s="80">
        <f t="shared" si="4"/>
        <v>19.380005097347091</v>
      </c>
      <c r="I54" s="77">
        <f t="shared" si="5"/>
        <v>31.839989805305812</v>
      </c>
      <c r="J54" s="73">
        <f t="shared" si="6"/>
        <v>0.54900864298433694</v>
      </c>
    </row>
    <row r="55" spans="2:10" x14ac:dyDescent="0.2">
      <c r="B55" s="7">
        <f t="shared" si="7"/>
        <v>70.599999999999994</v>
      </c>
      <c r="C55" s="2">
        <f>'Temp&amp;RT'!C55</f>
        <v>50</v>
      </c>
      <c r="D55" s="2">
        <f t="shared" si="1"/>
        <v>11.9</v>
      </c>
      <c r="E55" s="3">
        <f t="shared" si="8"/>
        <v>0.53820403085336554</v>
      </c>
      <c r="F55" s="3">
        <f t="shared" si="0"/>
        <v>3.1793027159041087</v>
      </c>
      <c r="G55" s="8">
        <f t="shared" si="3"/>
        <v>1.6809308804797483</v>
      </c>
      <c r="H55" s="80">
        <f t="shared" si="4"/>
        <v>20.003077477709006</v>
      </c>
      <c r="I55" s="77">
        <f t="shared" si="5"/>
        <v>30.593845044581983</v>
      </c>
      <c r="J55" s="73">
        <f t="shared" si="6"/>
        <v>0.56665941863198321</v>
      </c>
    </row>
    <row r="56" spans="2:10" ht="13.5" thickBot="1" x14ac:dyDescent="0.25">
      <c r="B56" s="9">
        <f t="shared" si="7"/>
        <v>70.599999999999994</v>
      </c>
      <c r="C56" s="10">
        <f>'Temp&amp;RT'!C56</f>
        <v>55</v>
      </c>
      <c r="D56" s="10">
        <f t="shared" si="1"/>
        <v>11.9</v>
      </c>
      <c r="E56" s="11">
        <f t="shared" si="8"/>
        <v>0.55461164043194688</v>
      </c>
      <c r="F56" s="11">
        <f t="shared" si="0"/>
        <v>3.1793027159041087</v>
      </c>
      <c r="G56" s="13">
        <f t="shared" si="3"/>
        <v>1.7029223470498323</v>
      </c>
      <c r="H56" s="81">
        <f t="shared" si="4"/>
        <v>20.264775929893005</v>
      </c>
      <c r="I56" s="77">
        <f t="shared" si="5"/>
        <v>30.070448140213983</v>
      </c>
      <c r="J56" s="74">
        <f t="shared" si="6"/>
        <v>0.57407297251821554</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topLeftCell="A29" zoomScale="95" workbookViewId="0"/>
  </sheetViews>
  <sheetFormatPr defaultRowHeight="12.75" x14ac:dyDescent="0.2"/>
  <sheetData>
    <row r="1" spans="1:11" ht="13.5" thickBot="1" x14ac:dyDescent="0.25">
      <c r="A1" s="14" t="s">
        <v>12</v>
      </c>
      <c r="D1" s="212" t="s">
        <v>279</v>
      </c>
      <c r="I1" s="246" t="s">
        <v>211</v>
      </c>
      <c r="J1" s="247"/>
      <c r="K1" s="248"/>
    </row>
    <row r="2" spans="1:11" ht="15" thickBot="1" x14ac:dyDescent="0.25">
      <c r="A2" s="1" t="s">
        <v>13</v>
      </c>
      <c r="B2" t="s">
        <v>14</v>
      </c>
      <c r="C2" t="s">
        <v>15</v>
      </c>
      <c r="D2" t="s">
        <v>16</v>
      </c>
      <c r="E2" t="s">
        <v>17</v>
      </c>
      <c r="F2" t="s">
        <v>18</v>
      </c>
      <c r="G2" t="s">
        <v>19</v>
      </c>
    </row>
    <row r="3" spans="1:11" ht="15" customHeight="1" thickBot="1" x14ac:dyDescent="0.25">
      <c r="A3" t="s">
        <v>20</v>
      </c>
      <c r="B3" s="70">
        <f>'Temp&amp;RT'!B3</f>
        <v>50.6</v>
      </c>
      <c r="C3" s="68"/>
      <c r="D3" s="52"/>
      <c r="E3" s="68"/>
      <c r="F3" s="56">
        <f>Calculator!B40</f>
        <v>11.9</v>
      </c>
      <c r="I3" s="246" t="s">
        <v>242</v>
      </c>
      <c r="J3" s="247"/>
      <c r="K3" s="248"/>
    </row>
    <row r="4" spans="1:11" ht="15" customHeight="1" x14ac:dyDescent="0.2">
      <c r="A4" t="s">
        <v>21</v>
      </c>
      <c r="B4" s="52"/>
      <c r="C4" s="52"/>
      <c r="D4" s="52"/>
      <c r="E4" s="52"/>
      <c r="F4" s="52"/>
    </row>
    <row r="25" spans="1:10" x14ac:dyDescent="0.2">
      <c r="E25" s="16" t="s">
        <v>22</v>
      </c>
      <c r="F25" s="17">
        <f>'Temp&amp;RT'!F25</f>
        <v>0.45</v>
      </c>
      <c r="G25" s="17" t="str">
        <f>'Temp&amp;RT'!G25</f>
        <v xml:space="preserve">For </v>
      </c>
      <c r="H25" s="49" t="str">
        <f>'Temp&amp;RT'!H25</f>
        <v>Piggery</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203</v>
      </c>
      <c r="J28" s="72" t="s">
        <v>204</v>
      </c>
    </row>
    <row r="29" spans="1:10" ht="15" thickBot="1" x14ac:dyDescent="0.25">
      <c r="B29" s="9" t="s">
        <v>15</v>
      </c>
      <c r="C29" s="10" t="s">
        <v>17</v>
      </c>
      <c r="D29" s="10" t="s">
        <v>19</v>
      </c>
      <c r="E29" s="10" t="s">
        <v>29</v>
      </c>
      <c r="F29" s="10"/>
      <c r="G29" s="12" t="s">
        <v>30</v>
      </c>
      <c r="H29" s="9" t="s">
        <v>31</v>
      </c>
      <c r="I29" s="9" t="s">
        <v>15</v>
      </c>
      <c r="J29" s="79" t="s">
        <v>205</v>
      </c>
    </row>
    <row r="30" spans="1:10" x14ac:dyDescent="0.2">
      <c r="B30" s="4">
        <f>'Temp&amp;RT'!B30</f>
        <v>50.599999999999994</v>
      </c>
      <c r="C30" s="5">
        <f>'Temp&amp;RT'!C30</f>
        <v>15</v>
      </c>
      <c r="D30" s="5">
        <f>D31-VLOOKUP('Temp&amp;RT'!$F$4,'Temp&amp;RT'!$A$6:$E$11,5)</f>
        <v>3.9000000000000004</v>
      </c>
      <c r="E30" s="76">
        <f>IF(C30&lt;5,0,IF(C30&gt;60,NA(),0.566*(1+1110*EXP(-1*0.187*C30))^(1/(1-2.83))))</f>
        <v>5.6348056051357183E-2</v>
      </c>
      <c r="F30" s="76">
        <f t="shared" ref="F30:F56" si="0">0.6+0.0006*EXP(0.1185*B30)</f>
        <v>0.84111509117368477</v>
      </c>
      <c r="G30" s="8" t="str">
        <f>IF($D30&lt;1/$E30,"WshOut",$F$25*B30/D30*(1-F30/(E30*D30-1+F30)))</f>
        <v>WshOut</v>
      </c>
      <c r="H30" s="80">
        <f>IF($D30&lt;1/$E30,0,G30*D30)</f>
        <v>0</v>
      </c>
      <c r="I30" s="91">
        <f>B30-H30/0.5</f>
        <v>50.599999999999994</v>
      </c>
      <c r="J30" s="92">
        <f>(B30-I30)/B30</f>
        <v>0</v>
      </c>
    </row>
    <row r="31" spans="1:10" x14ac:dyDescent="0.2">
      <c r="B31" s="7">
        <f t="shared" ref="B31:B56" si="1">B30</f>
        <v>50.599999999999994</v>
      </c>
      <c r="C31" s="2">
        <f t="shared" ref="C31:C38" si="2">C30</f>
        <v>15</v>
      </c>
      <c r="D31" s="2">
        <f>D32-VLOOKUP('Temp&amp;RT'!$F$4,'Temp&amp;RT'!$A$6:$E$11,5)</f>
        <v>5.9</v>
      </c>
      <c r="E31" s="3">
        <f t="shared" ref="E31:E44" si="3">IF(C31&lt;5,0,IF(C31&gt;60,NA(),0.566*(1+1110*EXP(-1*0.187*C31))^(1/(1-2.83))))</f>
        <v>5.6348056051357183E-2</v>
      </c>
      <c r="F31" s="3">
        <f t="shared" si="0"/>
        <v>0.84111509117368477</v>
      </c>
      <c r="G31" s="8" t="str">
        <f t="shared" ref="G31:G56" si="4">IF($D31&lt;1/$E31,"WshOut",$F$25*B31/D31*(1-F31/(E31*D31-1+F31)))</f>
        <v>WshOut</v>
      </c>
      <c r="H31" s="80">
        <f t="shared" ref="H31:H56" si="5">IF($D31&lt;1/$E31,0,G31*D31)</f>
        <v>0</v>
      </c>
      <c r="I31" s="93">
        <f t="shared" ref="I31:I56" si="6">B31-H31/0.5</f>
        <v>50.599999999999994</v>
      </c>
      <c r="J31" s="73">
        <f t="shared" ref="J31:J56" si="7">(B31-I31)/B31</f>
        <v>0</v>
      </c>
    </row>
    <row r="32" spans="1:10" x14ac:dyDescent="0.2">
      <c r="B32" s="7">
        <f t="shared" si="1"/>
        <v>50.599999999999994</v>
      </c>
      <c r="C32" s="2">
        <f t="shared" si="2"/>
        <v>15</v>
      </c>
      <c r="D32" s="2">
        <f>D33-VLOOKUP('Temp&amp;RT'!$F$4,'Temp&amp;RT'!$A$6:$E$11,5)</f>
        <v>7.9</v>
      </c>
      <c r="E32" s="3">
        <f t="shared" si="3"/>
        <v>5.6348056051357183E-2</v>
      </c>
      <c r="F32" s="3">
        <f t="shared" si="0"/>
        <v>0.84111509117368477</v>
      </c>
      <c r="G32" s="8" t="str">
        <f t="shared" si="4"/>
        <v>WshOut</v>
      </c>
      <c r="H32" s="80">
        <f t="shared" si="5"/>
        <v>0</v>
      </c>
      <c r="I32" s="93">
        <f t="shared" si="6"/>
        <v>50.599999999999994</v>
      </c>
      <c r="J32" s="73">
        <f t="shared" si="7"/>
        <v>0</v>
      </c>
    </row>
    <row r="33" spans="2:10" x14ac:dyDescent="0.2">
      <c r="B33" s="7">
        <f t="shared" si="1"/>
        <v>50.599999999999994</v>
      </c>
      <c r="C33" s="2">
        <f t="shared" si="2"/>
        <v>15</v>
      </c>
      <c r="D33" s="2">
        <f>D34-VLOOKUP('Temp&amp;RT'!$F$4,'Temp&amp;RT'!$A$6:$E$11,5)</f>
        <v>9.9</v>
      </c>
      <c r="E33" s="3">
        <f t="shared" si="3"/>
        <v>5.6348056051357183E-2</v>
      </c>
      <c r="F33" s="3">
        <f t="shared" si="0"/>
        <v>0.84111509117368477</v>
      </c>
      <c r="G33" s="8" t="str">
        <f t="shared" si="4"/>
        <v>WshOut</v>
      </c>
      <c r="H33" s="80">
        <f t="shared" si="5"/>
        <v>0</v>
      </c>
      <c r="I33" s="93">
        <f t="shared" si="6"/>
        <v>50.599999999999994</v>
      </c>
      <c r="J33" s="73">
        <f t="shared" si="7"/>
        <v>0</v>
      </c>
    </row>
    <row r="34" spans="2:10" x14ac:dyDescent="0.2">
      <c r="B34" s="7">
        <f t="shared" si="1"/>
        <v>50.599999999999994</v>
      </c>
      <c r="C34" s="2">
        <f t="shared" si="2"/>
        <v>15</v>
      </c>
      <c r="D34" s="2">
        <f>F3</f>
        <v>11.9</v>
      </c>
      <c r="E34" s="3">
        <f t="shared" si="3"/>
        <v>5.6348056051357183E-2</v>
      </c>
      <c r="F34" s="3">
        <f t="shared" si="0"/>
        <v>0.84111509117368477</v>
      </c>
      <c r="G34" s="8" t="str">
        <f t="shared" si="4"/>
        <v>WshOut</v>
      </c>
      <c r="H34" s="80">
        <f t="shared" si="5"/>
        <v>0</v>
      </c>
      <c r="I34" s="93">
        <f t="shared" si="6"/>
        <v>50.599999999999994</v>
      </c>
      <c r="J34" s="73">
        <f t="shared" si="7"/>
        <v>0</v>
      </c>
    </row>
    <row r="35" spans="2:10" x14ac:dyDescent="0.2">
      <c r="B35" s="7">
        <f t="shared" si="1"/>
        <v>50.599999999999994</v>
      </c>
      <c r="C35" s="2">
        <f t="shared" si="2"/>
        <v>15</v>
      </c>
      <c r="D35" s="2">
        <f>D34+VLOOKUP('Temp&amp;RT'!$F$4,'Temp&amp;RT'!$A$6:$E$11,5)</f>
        <v>13.9</v>
      </c>
      <c r="E35" s="3">
        <f t="shared" si="3"/>
        <v>5.6348056051357183E-2</v>
      </c>
      <c r="F35" s="3">
        <f t="shared" si="0"/>
        <v>0.84111509117368477</v>
      </c>
      <c r="G35" s="8" t="str">
        <f t="shared" si="4"/>
        <v>WshOut</v>
      </c>
      <c r="H35" s="80">
        <f t="shared" si="5"/>
        <v>0</v>
      </c>
      <c r="I35" s="93">
        <f t="shared" si="6"/>
        <v>50.599999999999994</v>
      </c>
      <c r="J35" s="73">
        <f t="shared" si="7"/>
        <v>0</v>
      </c>
    </row>
    <row r="36" spans="2:10" x14ac:dyDescent="0.2">
      <c r="B36" s="7">
        <f t="shared" si="1"/>
        <v>50.599999999999994</v>
      </c>
      <c r="C36" s="2">
        <f t="shared" si="2"/>
        <v>15</v>
      </c>
      <c r="D36" s="2">
        <f>D35+VLOOKUP('Temp&amp;RT'!$F$4,'Temp&amp;RT'!$A$6:$E$11,5)</f>
        <v>15.9</v>
      </c>
      <c r="E36" s="3">
        <f t="shared" si="3"/>
        <v>5.6348056051357183E-2</v>
      </c>
      <c r="F36" s="3">
        <f t="shared" si="0"/>
        <v>0.84111509117368477</v>
      </c>
      <c r="G36" s="8" t="str">
        <f t="shared" si="4"/>
        <v>WshOut</v>
      </c>
      <c r="H36" s="80">
        <f t="shared" si="5"/>
        <v>0</v>
      </c>
      <c r="I36" s="93">
        <f t="shared" si="6"/>
        <v>50.599999999999994</v>
      </c>
      <c r="J36" s="73">
        <f t="shared" si="7"/>
        <v>0</v>
      </c>
    </row>
    <row r="37" spans="2:10" x14ac:dyDescent="0.2">
      <c r="B37" s="7">
        <f t="shared" si="1"/>
        <v>50.599999999999994</v>
      </c>
      <c r="C37" s="2">
        <f t="shared" si="2"/>
        <v>15</v>
      </c>
      <c r="D37" s="2">
        <f>D36+VLOOKUP('Temp&amp;RT'!$F$4,'Temp&amp;RT'!$A$6:$E$11,5)</f>
        <v>17.899999999999999</v>
      </c>
      <c r="E37" s="3">
        <f t="shared" si="3"/>
        <v>5.6348056051357183E-2</v>
      </c>
      <c r="F37" s="3">
        <f t="shared" si="0"/>
        <v>0.84111509117368477</v>
      </c>
      <c r="G37" s="8">
        <f t="shared" si="4"/>
        <v>1.2919397441098072E-2</v>
      </c>
      <c r="H37" s="80">
        <f t="shared" si="5"/>
        <v>0.23125721419565548</v>
      </c>
      <c r="I37" s="93">
        <f t="shared" si="6"/>
        <v>50.137485571608686</v>
      </c>
      <c r="J37" s="73">
        <f t="shared" si="7"/>
        <v>9.1406013516068928E-3</v>
      </c>
    </row>
    <row r="38" spans="2:10" x14ac:dyDescent="0.2">
      <c r="B38" s="7">
        <f t="shared" si="1"/>
        <v>50.599999999999994</v>
      </c>
      <c r="C38" s="2">
        <f t="shared" si="2"/>
        <v>15</v>
      </c>
      <c r="D38" s="2">
        <f>D37+VLOOKUP('Temp&amp;RT'!$F$4,'Temp&amp;RT'!$A$6:$E$11,5)</f>
        <v>19.899999999999999</v>
      </c>
      <c r="E38" s="3">
        <f t="shared" si="3"/>
        <v>5.6348056051357183E-2</v>
      </c>
      <c r="F38" s="3">
        <f t="shared" si="0"/>
        <v>0.84111509117368477</v>
      </c>
      <c r="G38" s="8">
        <f t="shared" si="4"/>
        <v>0.14424164402153863</v>
      </c>
      <c r="H38" s="80">
        <f t="shared" si="5"/>
        <v>2.8704087160286185</v>
      </c>
      <c r="I38" s="93">
        <f t="shared" si="6"/>
        <v>44.85918256794276</v>
      </c>
      <c r="J38" s="73">
        <f t="shared" si="7"/>
        <v>0.11345488996160544</v>
      </c>
    </row>
    <row r="39" spans="2:10" x14ac:dyDescent="0.2">
      <c r="B39" s="7">
        <f t="shared" si="1"/>
        <v>50.599999999999994</v>
      </c>
      <c r="C39" s="2">
        <f>('Temp&amp;RT'!C39+'Temp&amp;RT'!C47)/2</f>
        <v>35</v>
      </c>
      <c r="D39" s="2">
        <f t="shared" ref="D39:D56" si="8">D30</f>
        <v>3.9000000000000004</v>
      </c>
      <c r="E39" s="3">
        <f t="shared" si="3"/>
        <v>0.33610627813438543</v>
      </c>
      <c r="F39" s="3">
        <f t="shared" si="0"/>
        <v>0.84111509117368477</v>
      </c>
      <c r="G39" s="8">
        <f t="shared" si="4"/>
        <v>1.5753379830048198</v>
      </c>
      <c r="H39" s="80">
        <f t="shared" si="5"/>
        <v>6.1438181337187974</v>
      </c>
      <c r="I39" s="93">
        <f t="shared" si="6"/>
        <v>38.312363732562403</v>
      </c>
      <c r="J39" s="73">
        <f t="shared" si="7"/>
        <v>0.24283866141181012</v>
      </c>
    </row>
    <row r="40" spans="2:10" x14ac:dyDescent="0.2">
      <c r="B40" s="7">
        <f t="shared" si="1"/>
        <v>50.599999999999994</v>
      </c>
      <c r="C40" s="2">
        <f t="shared" ref="C40:C47" si="9">C39</f>
        <v>35</v>
      </c>
      <c r="D40" s="2">
        <f t="shared" si="8"/>
        <v>5.9</v>
      </c>
      <c r="E40" s="3">
        <f t="shared" si="3"/>
        <v>0.33610627813438543</v>
      </c>
      <c r="F40" s="3">
        <f t="shared" si="0"/>
        <v>0.84111509117368477</v>
      </c>
      <c r="G40" s="8">
        <f t="shared" si="4"/>
        <v>2.079781971109719</v>
      </c>
      <c r="H40" s="80">
        <f t="shared" si="5"/>
        <v>12.270713629547343</v>
      </c>
      <c r="I40" s="93">
        <f t="shared" si="6"/>
        <v>26.058572740905309</v>
      </c>
      <c r="J40" s="73">
        <f t="shared" si="7"/>
        <v>0.48500844385562625</v>
      </c>
    </row>
    <row r="41" spans="2:10" x14ac:dyDescent="0.2">
      <c r="B41" s="7">
        <f t="shared" si="1"/>
        <v>50.599999999999994</v>
      </c>
      <c r="C41" s="2">
        <f t="shared" si="9"/>
        <v>35</v>
      </c>
      <c r="D41" s="2">
        <f t="shared" si="8"/>
        <v>7.9</v>
      </c>
      <c r="E41" s="3">
        <f t="shared" si="3"/>
        <v>0.33610627813438543</v>
      </c>
      <c r="F41" s="3">
        <f t="shared" si="0"/>
        <v>0.84111509117368477</v>
      </c>
      <c r="G41" s="8">
        <f t="shared" si="4"/>
        <v>1.9111312563911291</v>
      </c>
      <c r="H41" s="80">
        <f t="shared" si="5"/>
        <v>15.09793692548992</v>
      </c>
      <c r="I41" s="93">
        <f t="shared" si="6"/>
        <v>20.404126149020154</v>
      </c>
      <c r="J41" s="73">
        <f t="shared" si="7"/>
        <v>0.59675640021699294</v>
      </c>
    </row>
    <row r="42" spans="2:10" x14ac:dyDescent="0.2">
      <c r="B42" s="7">
        <f t="shared" si="1"/>
        <v>50.599999999999994</v>
      </c>
      <c r="C42" s="2">
        <f t="shared" si="9"/>
        <v>35</v>
      </c>
      <c r="D42" s="2">
        <f t="shared" si="8"/>
        <v>9.9</v>
      </c>
      <c r="E42" s="3">
        <f t="shared" si="3"/>
        <v>0.33610627813438543</v>
      </c>
      <c r="F42" s="3">
        <f t="shared" si="0"/>
        <v>0.84111509117368477</v>
      </c>
      <c r="G42" s="8">
        <f t="shared" si="4"/>
        <v>1.6894512692028614</v>
      </c>
      <c r="H42" s="80">
        <f t="shared" si="5"/>
        <v>16.725567565108328</v>
      </c>
      <c r="I42" s="93">
        <f t="shared" si="6"/>
        <v>17.148864869783338</v>
      </c>
      <c r="J42" s="73">
        <f t="shared" si="7"/>
        <v>0.66108962707938068</v>
      </c>
    </row>
    <row r="43" spans="2:10" x14ac:dyDescent="0.2">
      <c r="B43" s="7">
        <f t="shared" si="1"/>
        <v>50.599999999999994</v>
      </c>
      <c r="C43" s="2">
        <f t="shared" si="9"/>
        <v>35</v>
      </c>
      <c r="D43" s="2">
        <f t="shared" si="8"/>
        <v>11.9</v>
      </c>
      <c r="E43" s="3">
        <f t="shared" si="3"/>
        <v>0.33610627813438543</v>
      </c>
      <c r="F43" s="3">
        <f t="shared" si="0"/>
        <v>0.84111509117368477</v>
      </c>
      <c r="G43" s="8">
        <f t="shared" si="4"/>
        <v>1.4944086545953059</v>
      </c>
      <c r="H43" s="80">
        <f t="shared" si="5"/>
        <v>17.783462989684139</v>
      </c>
      <c r="I43" s="93">
        <f t="shared" si="6"/>
        <v>15.033074020631716</v>
      </c>
      <c r="J43" s="73">
        <f t="shared" si="7"/>
        <v>0.70290367548158661</v>
      </c>
    </row>
    <row r="44" spans="2:10" x14ac:dyDescent="0.2">
      <c r="B44" s="7">
        <f t="shared" si="1"/>
        <v>50.599999999999994</v>
      </c>
      <c r="C44" s="2">
        <f t="shared" si="9"/>
        <v>35</v>
      </c>
      <c r="D44" s="2">
        <f t="shared" si="8"/>
        <v>13.9</v>
      </c>
      <c r="E44" s="3">
        <f t="shared" si="3"/>
        <v>0.33610627813438543</v>
      </c>
      <c r="F44" s="3">
        <f t="shared" si="0"/>
        <v>0.84111509117368477</v>
      </c>
      <c r="G44" s="8">
        <f t="shared" si="4"/>
        <v>1.3328208825936225</v>
      </c>
      <c r="H44" s="80">
        <f t="shared" si="5"/>
        <v>18.526210268051354</v>
      </c>
      <c r="I44" s="93">
        <f t="shared" si="6"/>
        <v>13.547579463897286</v>
      </c>
      <c r="J44" s="73">
        <f t="shared" si="7"/>
        <v>0.73226127541704966</v>
      </c>
    </row>
    <row r="45" spans="2:10" x14ac:dyDescent="0.2">
      <c r="B45" s="7">
        <f t="shared" si="1"/>
        <v>50.599999999999994</v>
      </c>
      <c r="C45" s="2">
        <f t="shared" si="9"/>
        <v>35</v>
      </c>
      <c r="D45" s="2">
        <f t="shared" si="8"/>
        <v>15.9</v>
      </c>
      <c r="E45" s="3">
        <f t="shared" ref="E45:E56" si="10">IF(C45&lt;5,0,IF(C45&gt;60,NA(),0.566*(1+1110*EXP(-1*0.187*C45))^(1/(1-2.83))))</f>
        <v>0.33610627813438543</v>
      </c>
      <c r="F45" s="3">
        <f t="shared" si="0"/>
        <v>0.84111509117368477</v>
      </c>
      <c r="G45" s="8">
        <f t="shared" si="4"/>
        <v>1.1997721565858324</v>
      </c>
      <c r="H45" s="80">
        <f t="shared" si="5"/>
        <v>19.076377289714735</v>
      </c>
      <c r="I45" s="93">
        <f t="shared" si="6"/>
        <v>12.447245420570525</v>
      </c>
      <c r="J45" s="73">
        <f t="shared" si="7"/>
        <v>0.75400700749860616</v>
      </c>
    </row>
    <row r="46" spans="2:10" x14ac:dyDescent="0.2">
      <c r="B46" s="7">
        <f t="shared" si="1"/>
        <v>50.599999999999994</v>
      </c>
      <c r="C46" s="2">
        <f t="shared" si="9"/>
        <v>35</v>
      </c>
      <c r="D46" s="2">
        <f t="shared" si="8"/>
        <v>17.899999999999999</v>
      </c>
      <c r="E46" s="3">
        <f t="shared" si="10"/>
        <v>0.33610627813438543</v>
      </c>
      <c r="F46" s="3">
        <f t="shared" si="0"/>
        <v>0.84111509117368477</v>
      </c>
      <c r="G46" s="8">
        <f t="shared" si="4"/>
        <v>1.0894003964949366</v>
      </c>
      <c r="H46" s="80">
        <f t="shared" si="5"/>
        <v>19.500267097259364</v>
      </c>
      <c r="I46" s="93">
        <f t="shared" si="6"/>
        <v>11.599465805481266</v>
      </c>
      <c r="J46" s="73">
        <f t="shared" si="7"/>
        <v>0.77076154534621999</v>
      </c>
    </row>
    <row r="47" spans="2:10" x14ac:dyDescent="0.2">
      <c r="B47" s="7">
        <f t="shared" si="1"/>
        <v>50.599999999999994</v>
      </c>
      <c r="C47" s="2">
        <f t="shared" si="9"/>
        <v>35</v>
      </c>
      <c r="D47" s="2">
        <f t="shared" si="8"/>
        <v>19.899999999999999</v>
      </c>
      <c r="E47" s="3">
        <f t="shared" si="10"/>
        <v>0.33610627813438543</v>
      </c>
      <c r="F47" s="3">
        <f t="shared" si="0"/>
        <v>0.84111509117368477</v>
      </c>
      <c r="G47" s="8">
        <f t="shared" si="4"/>
        <v>0.99682812374161855</v>
      </c>
      <c r="H47" s="80">
        <f t="shared" si="5"/>
        <v>19.836879662458209</v>
      </c>
      <c r="I47" s="93">
        <f t="shared" si="6"/>
        <v>10.926240675083577</v>
      </c>
      <c r="J47" s="73">
        <f t="shared" si="7"/>
        <v>0.7840663898204826</v>
      </c>
    </row>
    <row r="48" spans="2:10" x14ac:dyDescent="0.2">
      <c r="B48" s="7">
        <f t="shared" si="1"/>
        <v>50.599999999999994</v>
      </c>
      <c r="C48" s="2">
        <f>'Temp&amp;RT'!C56</f>
        <v>55</v>
      </c>
      <c r="D48" s="2">
        <f t="shared" si="8"/>
        <v>3.9000000000000004</v>
      </c>
      <c r="E48" s="3">
        <f t="shared" si="10"/>
        <v>0.55461164043194688</v>
      </c>
      <c r="F48" s="3">
        <f t="shared" si="0"/>
        <v>0.84111509117368477</v>
      </c>
      <c r="G48" s="8">
        <f t="shared" si="4"/>
        <v>3.3880763723789791</v>
      </c>
      <c r="H48" s="80">
        <f t="shared" si="5"/>
        <v>13.213497852278019</v>
      </c>
      <c r="I48" s="93">
        <f t="shared" si="6"/>
        <v>24.173004295443956</v>
      </c>
      <c r="J48" s="73">
        <f t="shared" si="7"/>
        <v>0.52227264238253046</v>
      </c>
    </row>
    <row r="49" spans="2:10" x14ac:dyDescent="0.2">
      <c r="B49" s="7">
        <f t="shared" si="1"/>
        <v>50.599999999999994</v>
      </c>
      <c r="C49" s="2">
        <f t="shared" ref="C49:C56" si="11">C48</f>
        <v>55</v>
      </c>
      <c r="D49" s="2">
        <f t="shared" si="8"/>
        <v>5.9</v>
      </c>
      <c r="E49" s="3">
        <f t="shared" si="10"/>
        <v>0.55461164043194688</v>
      </c>
      <c r="F49" s="3">
        <f t="shared" si="0"/>
        <v>0.84111509117368477</v>
      </c>
      <c r="G49" s="8">
        <f t="shared" si="4"/>
        <v>2.8166633692324505</v>
      </c>
      <c r="H49" s="80">
        <f t="shared" si="5"/>
        <v>16.618313878471458</v>
      </c>
      <c r="I49" s="93">
        <f t="shared" si="6"/>
        <v>17.363372243057078</v>
      </c>
      <c r="J49" s="73">
        <f t="shared" si="7"/>
        <v>0.6568503509277257</v>
      </c>
    </row>
    <row r="50" spans="2:10" x14ac:dyDescent="0.2">
      <c r="B50" s="7">
        <f t="shared" si="1"/>
        <v>50.599999999999994</v>
      </c>
      <c r="C50" s="2">
        <f t="shared" si="11"/>
        <v>55</v>
      </c>
      <c r="D50" s="2">
        <f t="shared" si="8"/>
        <v>7.9</v>
      </c>
      <c r="E50" s="3">
        <f t="shared" si="10"/>
        <v>0.55461164043194688</v>
      </c>
      <c r="F50" s="3">
        <f t="shared" si="0"/>
        <v>0.84111509117368477</v>
      </c>
      <c r="G50" s="8">
        <f t="shared" si="4"/>
        <v>2.3081397210884962</v>
      </c>
      <c r="H50" s="80">
        <f t="shared" si="5"/>
        <v>18.234303796599121</v>
      </c>
      <c r="I50" s="93">
        <f t="shared" si="6"/>
        <v>14.131392406801751</v>
      </c>
      <c r="J50" s="73">
        <f t="shared" si="7"/>
        <v>0.72072347022130923</v>
      </c>
    </row>
    <row r="51" spans="2:10" x14ac:dyDescent="0.2">
      <c r="B51" s="7">
        <f t="shared" si="1"/>
        <v>50.599999999999994</v>
      </c>
      <c r="C51" s="2">
        <f t="shared" si="11"/>
        <v>55</v>
      </c>
      <c r="D51" s="2">
        <f t="shared" si="8"/>
        <v>9.9</v>
      </c>
      <c r="E51" s="3">
        <f t="shared" si="10"/>
        <v>0.55461164043194688</v>
      </c>
      <c r="F51" s="3">
        <f t="shared" si="0"/>
        <v>0.84111509117368477</v>
      </c>
      <c r="G51" s="8">
        <f t="shared" si="4"/>
        <v>1.9371627828212592</v>
      </c>
      <c r="H51" s="80">
        <f t="shared" si="5"/>
        <v>19.177911549930467</v>
      </c>
      <c r="I51" s="93">
        <f t="shared" si="6"/>
        <v>12.24417690013906</v>
      </c>
      <c r="J51" s="73">
        <f t="shared" si="7"/>
        <v>0.75802021936484065</v>
      </c>
    </row>
    <row r="52" spans="2:10" x14ac:dyDescent="0.2">
      <c r="B52" s="7">
        <f t="shared" si="1"/>
        <v>50.599999999999994</v>
      </c>
      <c r="C52" s="2">
        <f t="shared" si="11"/>
        <v>55</v>
      </c>
      <c r="D52" s="2">
        <f t="shared" si="8"/>
        <v>11.9</v>
      </c>
      <c r="E52" s="3">
        <f t="shared" si="10"/>
        <v>0.55461164043194688</v>
      </c>
      <c r="F52" s="3">
        <f t="shared" si="0"/>
        <v>0.84111509117368477</v>
      </c>
      <c r="G52" s="8">
        <f t="shared" si="4"/>
        <v>1.6635727838635299</v>
      </c>
      <c r="H52" s="80">
        <f t="shared" si="5"/>
        <v>19.796516127976005</v>
      </c>
      <c r="I52" s="93">
        <f t="shared" si="6"/>
        <v>11.006967744047984</v>
      </c>
      <c r="J52" s="73">
        <f t="shared" si="7"/>
        <v>0.78247099320063274</v>
      </c>
    </row>
    <row r="53" spans="2:10" x14ac:dyDescent="0.2">
      <c r="B53" s="7">
        <f t="shared" si="1"/>
        <v>50.599999999999994</v>
      </c>
      <c r="C53" s="2">
        <f t="shared" si="11"/>
        <v>55</v>
      </c>
      <c r="D53" s="2">
        <f t="shared" si="8"/>
        <v>13.9</v>
      </c>
      <c r="E53" s="3">
        <f t="shared" si="10"/>
        <v>0.55461164043194688</v>
      </c>
      <c r="F53" s="3">
        <f t="shared" si="0"/>
        <v>0.84111509117368477</v>
      </c>
      <c r="G53" s="8">
        <f t="shared" si="4"/>
        <v>1.4556373295929128</v>
      </c>
      <c r="H53" s="80">
        <f t="shared" si="5"/>
        <v>20.233358881341488</v>
      </c>
      <c r="I53" s="93">
        <f t="shared" si="6"/>
        <v>10.133282237317019</v>
      </c>
      <c r="J53" s="73">
        <f t="shared" si="7"/>
        <v>0.79973750519136322</v>
      </c>
    </row>
    <row r="54" spans="2:10" x14ac:dyDescent="0.2">
      <c r="B54" s="7">
        <f t="shared" si="1"/>
        <v>50.599999999999994</v>
      </c>
      <c r="C54" s="2">
        <f t="shared" si="11"/>
        <v>55</v>
      </c>
      <c r="D54" s="2">
        <f t="shared" si="8"/>
        <v>15.9</v>
      </c>
      <c r="E54" s="3">
        <f t="shared" si="10"/>
        <v>0.55461164043194688</v>
      </c>
      <c r="F54" s="3">
        <f t="shared" si="0"/>
        <v>0.84111509117368477</v>
      </c>
      <c r="G54" s="8">
        <f t="shared" si="4"/>
        <v>1.2929740671343632</v>
      </c>
      <c r="H54" s="80">
        <f t="shared" si="5"/>
        <v>20.558287667436375</v>
      </c>
      <c r="I54" s="93">
        <f t="shared" si="6"/>
        <v>9.4834246651272451</v>
      </c>
      <c r="J54" s="73">
        <f t="shared" si="7"/>
        <v>0.81258054021487658</v>
      </c>
    </row>
    <row r="55" spans="2:10" x14ac:dyDescent="0.2">
      <c r="B55" s="7">
        <f t="shared" si="1"/>
        <v>50.599999999999994</v>
      </c>
      <c r="C55" s="2">
        <f t="shared" si="11"/>
        <v>55</v>
      </c>
      <c r="D55" s="2">
        <f t="shared" si="8"/>
        <v>17.899999999999999</v>
      </c>
      <c r="E55" s="3">
        <f t="shared" si="10"/>
        <v>0.55461164043194688</v>
      </c>
      <c r="F55" s="3">
        <f t="shared" si="0"/>
        <v>0.84111509117368477</v>
      </c>
      <c r="G55" s="8">
        <f t="shared" si="4"/>
        <v>1.1625377479686247</v>
      </c>
      <c r="H55" s="80">
        <f t="shared" si="5"/>
        <v>20.809425688638381</v>
      </c>
      <c r="I55" s="93">
        <f t="shared" si="6"/>
        <v>8.9811486227232322</v>
      </c>
      <c r="J55" s="73">
        <f t="shared" si="7"/>
        <v>0.82250694421495585</v>
      </c>
    </row>
    <row r="56" spans="2:10" ht="13.5" thickBot="1" x14ac:dyDescent="0.25">
      <c r="B56" s="9">
        <f t="shared" si="1"/>
        <v>50.599999999999994</v>
      </c>
      <c r="C56" s="10">
        <f t="shared" si="11"/>
        <v>55</v>
      </c>
      <c r="D56" s="10">
        <f t="shared" si="8"/>
        <v>19.899999999999999</v>
      </c>
      <c r="E56" s="11">
        <f t="shared" si="10"/>
        <v>0.55461164043194688</v>
      </c>
      <c r="F56" s="11">
        <f t="shared" si="0"/>
        <v>0.84111509117368477</v>
      </c>
      <c r="G56" s="13">
        <f t="shared" si="4"/>
        <v>1.0557460493998676</v>
      </c>
      <c r="H56" s="81">
        <f t="shared" si="5"/>
        <v>21.009346383057363</v>
      </c>
      <c r="I56" s="94">
        <f t="shared" si="6"/>
        <v>8.5813072338852692</v>
      </c>
      <c r="J56" s="74">
        <f t="shared" si="7"/>
        <v>0.83040894794693143</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topLeftCell="A13" zoomScale="75" workbookViewId="0">
      <selection activeCell="G35" sqref="G35"/>
    </sheetView>
  </sheetViews>
  <sheetFormatPr defaultRowHeight="12.75" x14ac:dyDescent="0.2"/>
  <cols>
    <col min="1" max="1" width="32.5703125" customWidth="1"/>
    <col min="2" max="2" width="17.85546875" customWidth="1"/>
    <col min="3" max="3" width="11.140625" customWidth="1"/>
    <col min="4" max="4" width="15.5703125" customWidth="1"/>
  </cols>
  <sheetData>
    <row r="1" spans="1:5" ht="18" x14ac:dyDescent="0.25">
      <c r="A1" s="15" t="s">
        <v>222</v>
      </c>
      <c r="B1" s="50"/>
      <c r="D1" s="83" t="s">
        <v>211</v>
      </c>
    </row>
    <row r="2" spans="1:5" x14ac:dyDescent="0.2">
      <c r="A2" s="212" t="s">
        <v>279</v>
      </c>
    </row>
    <row r="3" spans="1:5" s="32" customFormat="1" ht="15" x14ac:dyDescent="0.25">
      <c r="A3" s="31" t="s">
        <v>13</v>
      </c>
      <c r="B3" s="96" t="s">
        <v>220</v>
      </c>
      <c r="D3" s="37" t="s">
        <v>221</v>
      </c>
    </row>
    <row r="4" spans="1:5" s="32" customFormat="1" ht="16.5" x14ac:dyDescent="0.2">
      <c r="A4" s="32" t="s">
        <v>34</v>
      </c>
      <c r="B4" s="53"/>
      <c r="C4" s="37" t="s">
        <v>35</v>
      </c>
      <c r="D4" s="38">
        <f>D5/B29/1.1</f>
        <v>3.5279999999999999E-2</v>
      </c>
      <c r="E4" s="32" t="str">
        <f>IF(AND(B4&lt;&gt;"",B7&lt;&gt;"",B8&lt;&gt;""),"NOT required if H and D specifieded!","")</f>
        <v/>
      </c>
    </row>
    <row r="5" spans="1:5" s="32" customFormat="1" ht="16.5" x14ac:dyDescent="0.2">
      <c r="A5" s="32" t="s">
        <v>36</v>
      </c>
      <c r="B5" s="103">
        <f>Calculator!B41*1.1</f>
        <v>0.46181520000000004</v>
      </c>
      <c r="C5" s="37" t="s">
        <v>35</v>
      </c>
      <c r="D5" s="38">
        <f>IF(B4="",IF(B5="",PI()*D8*D8*D7/4,B5),B4*B29)</f>
        <v>0.46181520000000004</v>
      </c>
      <c r="E5" s="83" t="s">
        <v>217</v>
      </c>
    </row>
    <row r="6" spans="1:5" s="32" customFormat="1" ht="14.25" x14ac:dyDescent="0.2">
      <c r="A6" s="32" t="s">
        <v>113</v>
      </c>
      <c r="B6" s="33"/>
      <c r="C6" s="37" t="s">
        <v>112</v>
      </c>
      <c r="D6" s="71">
        <f>D4*B27</f>
        <v>1.7851679999999996</v>
      </c>
    </row>
    <row r="7" spans="1:5" s="32" customFormat="1" ht="14.25" x14ac:dyDescent="0.2">
      <c r="A7" s="32" t="s">
        <v>37</v>
      </c>
      <c r="B7" s="89"/>
      <c r="C7" s="37" t="s">
        <v>38</v>
      </c>
      <c r="D7" s="38">
        <f>IF(B7="",IF(B8="",(4*B9^2*D5/PI())^(1/3),4*D5/B8/B8/PI()),B7)</f>
        <v>1.3298809888419945</v>
      </c>
    </row>
    <row r="8" spans="1:5" s="32" customFormat="1" ht="14.25" x14ac:dyDescent="0.2">
      <c r="A8" s="32" t="s">
        <v>39</v>
      </c>
      <c r="B8" s="89"/>
      <c r="C8" s="37" t="s">
        <v>38</v>
      </c>
      <c r="D8" s="38">
        <f>IF(B8="",IF(B7="",(4*D5/PI()/B9)^(1/3),SQRT(4*D5/PI()/B7)),B8)</f>
        <v>0.66494049442099723</v>
      </c>
    </row>
    <row r="9" spans="1:5" s="32" customFormat="1" ht="14.25" x14ac:dyDescent="0.2">
      <c r="A9" s="87" t="s">
        <v>216</v>
      </c>
      <c r="B9" s="53">
        <v>2</v>
      </c>
      <c r="C9" s="37"/>
      <c r="D9" s="38">
        <f>D7/D8</f>
        <v>2</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30</v>
      </c>
      <c r="C11" s="32" t="s">
        <v>41</v>
      </c>
    </row>
    <row r="12" spans="1:5" s="32" customFormat="1" ht="16.5" x14ac:dyDescent="0.2">
      <c r="A12" s="32" t="s">
        <v>42</v>
      </c>
      <c r="B12" s="53">
        <v>30</v>
      </c>
      <c r="C12" s="32" t="s">
        <v>41</v>
      </c>
    </row>
    <row r="13" spans="1:5" s="32" customFormat="1" ht="14.25" x14ac:dyDescent="0.2">
      <c r="A13" s="32" t="s">
        <v>43</v>
      </c>
      <c r="B13" s="53">
        <v>5</v>
      </c>
      <c r="C13" s="32" t="s">
        <v>44</v>
      </c>
    </row>
    <row r="14" spans="1:5" s="32" customFormat="1" ht="14.25" x14ac:dyDescent="0.2">
      <c r="A14" s="32" t="s">
        <v>45</v>
      </c>
      <c r="B14" s="53">
        <v>70</v>
      </c>
      <c r="C14" s="32" t="s">
        <v>46</v>
      </c>
    </row>
    <row r="15" spans="1:5" s="32" customFormat="1" ht="16.5" x14ac:dyDescent="0.2">
      <c r="A15" s="32" t="s">
        <v>47</v>
      </c>
      <c r="B15" s="53">
        <v>4.2000000000000003E-2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4" t="s">
        <v>53</v>
      </c>
      <c r="B19" s="105"/>
      <c r="C19" s="105"/>
    </row>
    <row r="20" spans="1:6" s="32" customFormat="1" ht="16.5" x14ac:dyDescent="0.2">
      <c r="A20" s="105" t="s">
        <v>206</v>
      </c>
      <c r="B20" s="106">
        <f>'Temp&amp;RT'!$G$43*D5/1.1</f>
        <v>0.62740057427605644</v>
      </c>
      <c r="C20" s="105" t="s">
        <v>54</v>
      </c>
      <c r="D20" s="188" t="s">
        <v>108</v>
      </c>
      <c r="E20" s="189">
        <f>B20*(1+(100-$E$21)/100)</f>
        <v>0.87836080398647898</v>
      </c>
      <c r="F20" s="105" t="s">
        <v>54</v>
      </c>
    </row>
    <row r="21" spans="1:6" s="32" customFormat="1" ht="14.25" x14ac:dyDescent="0.2">
      <c r="A21" s="105" t="s">
        <v>55</v>
      </c>
      <c r="B21" s="106">
        <f>D4*B17*('VS&amp;RT'!C30-CFST!B12)*1000/24/60/60</f>
        <v>8.4933333333333336E-3</v>
      </c>
      <c r="C21" s="105" t="s">
        <v>56</v>
      </c>
      <c r="D21" s="96" t="s">
        <v>260</v>
      </c>
      <c r="E21" s="190">
        <v>60</v>
      </c>
      <c r="F21" s="32" t="s">
        <v>261</v>
      </c>
    </row>
    <row r="22" spans="1:6" s="32" customFormat="1" ht="14.25" x14ac:dyDescent="0.2">
      <c r="A22" s="105" t="s">
        <v>57</v>
      </c>
      <c r="B22" s="106">
        <f>('VS&amp;RT'!C30-B11)/(B13/B15/1000+1/6)*PI()*(D8*D8/4+D8*D7)/1000</f>
        <v>5.469353619629936E-2</v>
      </c>
      <c r="C22" s="105" t="s">
        <v>56</v>
      </c>
    </row>
    <row r="23" spans="1:6" s="32" customFormat="1" ht="16.5" x14ac:dyDescent="0.2">
      <c r="A23" s="105" t="s">
        <v>207</v>
      </c>
      <c r="B23" s="106">
        <f>B20-(B21+B22)/B16*60*60*24/10/B14</f>
        <v>0.42742454763282328</v>
      </c>
      <c r="C23" s="105" t="s">
        <v>54</v>
      </c>
      <c r="D23" s="188" t="s">
        <v>108</v>
      </c>
      <c r="E23" s="189">
        <f>B23*(1+(100-$E$21)/100)</f>
        <v>0.59839436668595258</v>
      </c>
      <c r="F23" s="105" t="s">
        <v>54</v>
      </c>
    </row>
    <row r="24" spans="1:6" s="32" customFormat="1" ht="14.25" x14ac:dyDescent="0.2">
      <c r="A24" s="105" t="s">
        <v>58</v>
      </c>
      <c r="B24" s="106">
        <f>B23*B16*1000/24/60/60</f>
        <v>0.19293469163981605</v>
      </c>
      <c r="C24" s="105" t="s">
        <v>56</v>
      </c>
    </row>
    <row r="25" spans="1:6" s="32" customFormat="1" ht="14.25" x14ac:dyDescent="0.2"/>
    <row r="26" spans="1:6" s="32" customFormat="1" ht="15" x14ac:dyDescent="0.25">
      <c r="A26" s="31" t="s">
        <v>59</v>
      </c>
    </row>
    <row r="27" spans="1:6" s="32" customFormat="1" ht="16.5" x14ac:dyDescent="0.2">
      <c r="A27" s="32" t="s">
        <v>213</v>
      </c>
      <c r="B27" s="32">
        <f>'Temp&amp;RT'!B30</f>
        <v>50.599999999999994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214</v>
      </c>
      <c r="B30" s="86">
        <f>'Temp&amp;RT'!I43</f>
        <v>15.033074020631716</v>
      </c>
      <c r="C30" s="32" t="s">
        <v>109</v>
      </c>
    </row>
    <row r="31" spans="1:6" s="32" customFormat="1" ht="14.25" x14ac:dyDescent="0.2">
      <c r="A31" s="32" t="s">
        <v>215</v>
      </c>
      <c r="B31" s="86">
        <f>'Temp&amp;RT'!J43*100</f>
        <v>70.290367548158656</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46.181520000000006</v>
      </c>
    </row>
    <row r="36" spans="1:4" s="32" customFormat="1" ht="14.25" x14ac:dyDescent="0.2">
      <c r="A36" s="32" t="s">
        <v>67</v>
      </c>
      <c r="B36" s="57">
        <v>50</v>
      </c>
      <c r="C36" s="32" t="s">
        <v>68</v>
      </c>
      <c r="D36" s="34">
        <f>B36*(B21+B22)</f>
        <v>3.1593434764816344</v>
      </c>
    </row>
    <row r="37" spans="1:4" s="32" customFormat="1" ht="16.5" x14ac:dyDescent="0.2">
      <c r="A37" s="32" t="s">
        <v>69</v>
      </c>
      <c r="B37" s="57">
        <v>20</v>
      </c>
      <c r="C37" s="32" t="s">
        <v>70</v>
      </c>
      <c r="D37" s="34">
        <f>IF(B13&gt;0,B37*PI()*(D8*D7+D8*D8/4),0)</f>
        <v>62.506898510056416</v>
      </c>
    </row>
    <row r="38" spans="1:4" s="32" customFormat="1" ht="14.25" x14ac:dyDescent="0.2">
      <c r="A38" s="32" t="s">
        <v>71</v>
      </c>
      <c r="B38" s="57">
        <f>D35</f>
        <v>46.181520000000006</v>
      </c>
      <c r="D38" s="35">
        <f>B38</f>
        <v>46.181520000000006</v>
      </c>
    </row>
    <row r="39" spans="1:4" s="32" customFormat="1" ht="14.25" x14ac:dyDescent="0.2">
      <c r="C39" s="32" t="s">
        <v>72</v>
      </c>
      <c r="D39" s="35">
        <f>SUM(D35:D38)</f>
        <v>158.02928198653808</v>
      </c>
    </row>
    <row r="40" spans="1:4" s="32" customFormat="1" ht="14.25" x14ac:dyDescent="0.2">
      <c r="A40" s="32" t="s">
        <v>73</v>
      </c>
      <c r="B40" s="53">
        <v>20</v>
      </c>
      <c r="C40" s="32" t="s">
        <v>74</v>
      </c>
    </row>
    <row r="41" spans="1:4" s="32" customFormat="1" ht="14.25" x14ac:dyDescent="0.2"/>
    <row r="42" spans="1:4" s="32" customFormat="1" ht="17.25" x14ac:dyDescent="0.25">
      <c r="A42" s="107" t="s">
        <v>75</v>
      </c>
      <c r="B42" s="108">
        <f>IF(B23&gt;0,D39/B40/365/B23,"No Excess Methane")</f>
        <v>5.0647177302664971E-2</v>
      </c>
      <c r="C42" s="104" t="s">
        <v>76</v>
      </c>
    </row>
  </sheetData>
  <sheetProtection sheet="1" objects="1" scenarios="1"/>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topLeftCell="A4" zoomScale="75" workbookViewId="0">
      <selection activeCell="D16" sqref="D16"/>
    </sheetView>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230</v>
      </c>
      <c r="B1" t="s">
        <v>172</v>
      </c>
      <c r="D1" s="212" t="s">
        <v>279</v>
      </c>
      <c r="E1" s="212"/>
    </row>
    <row r="2" spans="1:9" x14ac:dyDescent="0.2">
      <c r="E2" s="83" t="s">
        <v>211</v>
      </c>
    </row>
    <row r="3" spans="1:9" x14ac:dyDescent="0.2">
      <c r="A3" t="s">
        <v>165</v>
      </c>
      <c r="B3" s="97">
        <f>Calculator!B38</f>
        <v>3.5279999999999999E-2</v>
      </c>
      <c r="C3" t="s">
        <v>173</v>
      </c>
      <c r="E3" s="83" t="str">
        <f>IF(B14&lt;&gt;CFST!D5,"DIFFERENT VOLUMES - clear Effluent Volume per Day on CFST sheet!","")</f>
        <v/>
      </c>
    </row>
    <row r="4" spans="1:9" x14ac:dyDescent="0.2">
      <c r="B4" s="16"/>
      <c r="E4" s="83" t="s">
        <v>265</v>
      </c>
    </row>
    <row r="5" spans="1:9" s="16" customFormat="1" x14ac:dyDescent="0.2">
      <c r="B5" s="16" t="s">
        <v>174</v>
      </c>
      <c r="C5" s="113"/>
      <c r="D5" s="113"/>
      <c r="E5" s="113"/>
      <c r="F5" s="113"/>
      <c r="G5" s="113"/>
    </row>
    <row r="6" spans="1:9" x14ac:dyDescent="0.2">
      <c r="A6" s="59" t="s">
        <v>175</v>
      </c>
      <c r="C6" s="98"/>
      <c r="D6" s="98"/>
      <c r="E6" s="98"/>
      <c r="F6" s="98"/>
      <c r="G6" s="98"/>
    </row>
    <row r="7" spans="1:9" x14ac:dyDescent="0.2">
      <c r="A7" t="s">
        <v>176</v>
      </c>
      <c r="B7" s="172">
        <f>Calculator!B40</f>
        <v>11.9</v>
      </c>
      <c r="C7" s="68"/>
      <c r="D7" s="68"/>
      <c r="E7" s="98"/>
      <c r="F7" s="98"/>
      <c r="G7" s="98"/>
    </row>
    <row r="8" spans="1:9" x14ac:dyDescent="0.2">
      <c r="A8" t="s">
        <v>177</v>
      </c>
      <c r="B8" s="226">
        <v>0.5</v>
      </c>
      <c r="C8" s="68"/>
      <c r="D8" s="68"/>
      <c r="E8" s="98"/>
      <c r="F8" s="98"/>
      <c r="G8" s="98"/>
    </row>
    <row r="9" spans="1:9" x14ac:dyDescent="0.2">
      <c r="A9" t="s">
        <v>178</v>
      </c>
      <c r="B9" s="231" t="str">
        <f>IF(B16/B15&lt;3,"Decrease Depth above!",IF(B16/B15&gt;20,"Increase Depth above!",B16/B15))</f>
        <v>Decrease Depth above!</v>
      </c>
      <c r="C9" s="68"/>
      <c r="D9" s="68"/>
      <c r="E9" s="98"/>
      <c r="F9" s="98"/>
      <c r="G9" s="98"/>
      <c r="I9" s="98"/>
    </row>
    <row r="10" spans="1:9" ht="14.25" x14ac:dyDescent="0.2">
      <c r="A10" t="s">
        <v>198</v>
      </c>
      <c r="B10" s="62">
        <v>2.4</v>
      </c>
      <c r="C10" s="114"/>
      <c r="D10" s="114"/>
      <c r="E10" s="98"/>
      <c r="F10" s="98"/>
      <c r="G10" s="98"/>
    </row>
    <row r="11" spans="1:9" ht="14.25" x14ac:dyDescent="0.2">
      <c r="A11" t="s">
        <v>199</v>
      </c>
      <c r="B11" s="62">
        <v>13</v>
      </c>
      <c r="C11" s="114"/>
      <c r="D11" s="114"/>
      <c r="E11" s="98"/>
      <c r="F11" s="98"/>
      <c r="G11" s="98"/>
    </row>
    <row r="12" spans="1:9" x14ac:dyDescent="0.2">
      <c r="C12" s="98"/>
      <c r="D12" s="98"/>
      <c r="E12" s="98"/>
      <c r="F12" s="98"/>
      <c r="G12" s="98"/>
    </row>
    <row r="13" spans="1:9" x14ac:dyDescent="0.2">
      <c r="A13" s="59" t="s">
        <v>179</v>
      </c>
      <c r="C13" s="98"/>
      <c r="D13" s="98"/>
      <c r="E13" s="98"/>
      <c r="F13" s="98"/>
      <c r="G13" s="98"/>
    </row>
    <row r="14" spans="1:9" x14ac:dyDescent="0.2">
      <c r="A14" s="102" t="s">
        <v>180</v>
      </c>
      <c r="B14" s="109">
        <f>$B$3*B7*1.1</f>
        <v>0.46181520000000004</v>
      </c>
      <c r="C14" s="115"/>
      <c r="D14" s="115"/>
      <c r="E14" s="115"/>
      <c r="F14" s="98"/>
      <c r="G14" s="98"/>
    </row>
    <row r="15" spans="1:9" x14ac:dyDescent="0.2">
      <c r="A15" s="102" t="s">
        <v>181</v>
      </c>
      <c r="B15" s="110">
        <f>3*B8</f>
        <v>1.5</v>
      </c>
      <c r="C15" s="98"/>
      <c r="D15" s="98"/>
      <c r="E15" s="98"/>
      <c r="F15" s="98"/>
      <c r="G15" s="98"/>
    </row>
    <row r="16" spans="1:9" x14ac:dyDescent="0.2">
      <c r="A16" s="102" t="s">
        <v>182</v>
      </c>
      <c r="B16" s="110">
        <f>B14/2/B8^2</f>
        <v>0.92363040000000007</v>
      </c>
      <c r="C16" s="115"/>
      <c r="D16" s="115"/>
      <c r="E16" s="98"/>
      <c r="F16" s="98"/>
      <c r="G16" s="98"/>
    </row>
    <row r="17" spans="1:7" x14ac:dyDescent="0.2">
      <c r="A17" s="102" t="s">
        <v>183</v>
      </c>
      <c r="B17" s="110">
        <f>B8-B18</f>
        <v>0.42396632608748241</v>
      </c>
      <c r="C17" s="98"/>
      <c r="D17" s="98"/>
      <c r="E17" s="98"/>
      <c r="F17" s="98"/>
      <c r="G17" s="98"/>
    </row>
    <row r="18" spans="1:7" x14ac:dyDescent="0.2">
      <c r="A18" t="s">
        <v>184</v>
      </c>
      <c r="B18" s="64">
        <f>(-3*B8-5+SQRT(17*B8^2+25+30*B8))/2</f>
        <v>7.6033673912517585E-2</v>
      </c>
      <c r="C18" s="116"/>
      <c r="D18" s="116"/>
      <c r="E18" s="98"/>
      <c r="F18" s="98"/>
      <c r="G18" s="98"/>
    </row>
    <row r="19" spans="1:7" ht="14.25" x14ac:dyDescent="0.2">
      <c r="A19" t="s">
        <v>200</v>
      </c>
      <c r="B19" s="63">
        <f>B17*(B17+B8)*B16</f>
        <v>0.36181429880569399</v>
      </c>
      <c r="C19" s="115"/>
      <c r="D19" s="115"/>
      <c r="E19" s="117"/>
      <c r="F19" s="98"/>
      <c r="G19" s="98"/>
    </row>
    <row r="20" spans="1:7" x14ac:dyDescent="0.2">
      <c r="A20" t="s">
        <v>185</v>
      </c>
      <c r="B20" s="66">
        <f>B10*B19</f>
        <v>0.86835431713366551</v>
      </c>
      <c r="C20" s="118"/>
      <c r="D20" s="118"/>
      <c r="E20" s="118"/>
      <c r="F20" s="98"/>
      <c r="G20" s="98"/>
    </row>
    <row r="21" spans="1:7" x14ac:dyDescent="0.2">
      <c r="A21" t="s">
        <v>186</v>
      </c>
      <c r="B21" s="67">
        <f>B15+5+4*B18</f>
        <v>6.8041346956500703</v>
      </c>
      <c r="C21" s="119"/>
      <c r="D21" s="119"/>
      <c r="E21" s="120"/>
      <c r="F21" s="113"/>
      <c r="G21" s="98"/>
    </row>
    <row r="22" spans="1:7" x14ac:dyDescent="0.2">
      <c r="A22" t="s">
        <v>187</v>
      </c>
      <c r="B22" s="67">
        <f>B16+5+4*B18</f>
        <v>6.2277650956500707</v>
      </c>
      <c r="C22" s="119"/>
      <c r="D22" s="119"/>
      <c r="E22" s="120"/>
      <c r="F22" s="120"/>
      <c r="G22" s="98"/>
    </row>
    <row r="23" spans="1:7" x14ac:dyDescent="0.2">
      <c r="A23" s="102" t="s">
        <v>188</v>
      </c>
      <c r="B23" s="112">
        <f>4*B8+2*1.414*B8+3</f>
        <v>6.4139999999999997</v>
      </c>
      <c r="C23" s="121"/>
      <c r="D23" s="121"/>
      <c r="E23" s="98"/>
      <c r="F23" s="98"/>
      <c r="G23" s="98"/>
    </row>
    <row r="24" spans="1:7" x14ac:dyDescent="0.2">
      <c r="A24" s="102" t="s">
        <v>189</v>
      </c>
      <c r="B24" s="112">
        <f>B16+2*B8+2</f>
        <v>3.9236304</v>
      </c>
      <c r="C24" s="121"/>
      <c r="D24" s="121"/>
      <c r="E24" s="98"/>
      <c r="F24" s="98"/>
      <c r="G24" s="98"/>
    </row>
    <row r="25" spans="1:7" ht="14.25" x14ac:dyDescent="0.2">
      <c r="A25" t="s">
        <v>201</v>
      </c>
      <c r="B25" s="65">
        <f>(4*B8+2*1.414*B8)*B16</f>
        <v>3.1532741855999999</v>
      </c>
      <c r="C25" s="115"/>
      <c r="D25" s="115"/>
      <c r="E25" s="115"/>
      <c r="F25" s="98"/>
      <c r="G25" s="98"/>
    </row>
    <row r="26" spans="1:7" x14ac:dyDescent="0.2">
      <c r="A26" t="s">
        <v>190</v>
      </c>
      <c r="B26" s="66">
        <f>B25*B11</f>
        <v>40.9925644128</v>
      </c>
      <c r="C26" s="118"/>
      <c r="D26" s="118"/>
      <c r="E26" s="118"/>
      <c r="F26" s="98"/>
      <c r="G26" s="98"/>
    </row>
    <row r="27" spans="1:7" x14ac:dyDescent="0.2">
      <c r="A27" s="102" t="s">
        <v>191</v>
      </c>
      <c r="B27" s="111">
        <f>B20+B26</f>
        <v>41.860918729933665</v>
      </c>
      <c r="C27" s="118"/>
      <c r="D27" s="118"/>
      <c r="E27" s="118"/>
      <c r="F27" s="98"/>
      <c r="G27" s="98"/>
    </row>
    <row r="28" spans="1:7" x14ac:dyDescent="0.2">
      <c r="B28" t="str">
        <f>IF(B24&gt;60,IF(B24&lt;70,"Try increased depth!","Use multiple units!"),"")</f>
        <v/>
      </c>
    </row>
    <row r="29" spans="1:7" x14ac:dyDescent="0.2">
      <c r="A29" s="59" t="s">
        <v>192</v>
      </c>
    </row>
    <row r="30" spans="1:7" x14ac:dyDescent="0.2">
      <c r="A30" t="s">
        <v>193</v>
      </c>
    </row>
    <row r="31" spans="1:7" x14ac:dyDescent="0.2">
      <c r="A31" t="s">
        <v>194</v>
      </c>
    </row>
    <row r="32" spans="1:7" x14ac:dyDescent="0.2">
      <c r="A32" t="s">
        <v>195</v>
      </c>
    </row>
    <row r="33" spans="1:1" x14ac:dyDescent="0.2">
      <c r="A33" t="s">
        <v>196</v>
      </c>
    </row>
    <row r="34" spans="1:1" x14ac:dyDescent="0.2">
      <c r="A34" t="s">
        <v>197</v>
      </c>
    </row>
    <row r="35" spans="1:1" x14ac:dyDescent="0.2">
      <c r="A35" t="s">
        <v>273</v>
      </c>
    </row>
    <row r="36" spans="1:1" x14ac:dyDescent="0.2">
      <c r="A36" t="s">
        <v>274</v>
      </c>
    </row>
    <row r="37" spans="1:1" x14ac:dyDescent="0.2">
      <c r="A37" t="s">
        <v>275</v>
      </c>
    </row>
    <row r="38" spans="1:1" x14ac:dyDescent="0.2">
      <c r="A38" t="s">
        <v>276</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selection activeCell="H7" sqref="H7"/>
      <selection pane="bottomLeft"/>
    </sheetView>
  </sheetViews>
  <sheetFormatPr defaultRowHeight="12.75" x14ac:dyDescent="0.2"/>
  <cols>
    <col min="6" max="7" width="10.28515625" customWidth="1"/>
    <col min="9" max="9" width="10.28515625" customWidth="1"/>
  </cols>
  <sheetData>
    <row r="1" spans="1:14" x14ac:dyDescent="0.2">
      <c r="A1" t="s">
        <v>77</v>
      </c>
      <c r="F1" s="212" t="s">
        <v>279</v>
      </c>
    </row>
    <row r="2" spans="1:14" x14ac:dyDescent="0.2">
      <c r="F2" s="27"/>
      <c r="G2" s="36"/>
      <c r="H2" s="27"/>
      <c r="I2" s="36"/>
      <c r="J2" s="27"/>
      <c r="K2" s="27"/>
      <c r="L2" s="27"/>
    </row>
    <row r="3" spans="1:14" ht="15" thickBot="1" x14ac:dyDescent="0.25">
      <c r="A3" s="16" t="s">
        <v>78</v>
      </c>
      <c r="B3" s="17">
        <f>'Temp&amp;RT'!B30</f>
        <v>50.599999999999994</v>
      </c>
      <c r="C3" s="29" t="s">
        <v>79</v>
      </c>
    </row>
    <row r="4" spans="1:14" ht="14.25" x14ac:dyDescent="0.2">
      <c r="A4" s="16" t="s">
        <v>80</v>
      </c>
      <c r="B4" s="17">
        <f>CFST!D4</f>
        <v>3.5279999999999999E-2</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211</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0.4441105623120547</v>
      </c>
      <c r="E9" s="21">
        <f>D9*CFST!$D$9</f>
        <v>0.8882211246241094</v>
      </c>
      <c r="F9" s="22">
        <f>B9*CFST!$D$4*'Costing (Temp &amp; RT)'!$F$6</f>
        <v>13.759200000000002</v>
      </c>
      <c r="G9" s="24">
        <f>$G$6*PI()*(D9*E9+D9*D9/4)</f>
        <v>27.883326925466992</v>
      </c>
      <c r="H9" s="22">
        <f>(CFST!$B$4*CFST!$B$17*(A9-CFST!$B$12)*1000/24/60/60+(A9-CFST!$B$11)/(CFST!$B$13/CFST!$B$15/1000+1/6)*PI()*(D9*D9/4+D9*E9)/1000)*$H$6</f>
        <v>-3.6596866589675434</v>
      </c>
      <c r="I9" s="25">
        <f>SUM(F9:H9)+F9</f>
        <v>51.742040266499451</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0.4441105623120547</v>
      </c>
      <c r="E10" s="21">
        <f>D10*CFST!$D$9</f>
        <v>0.8882211246241094</v>
      </c>
      <c r="F10" s="22">
        <f>B10*CFST!$D$4*'Costing (Temp &amp; RT)'!$F$6</f>
        <v>13.759200000000002</v>
      </c>
      <c r="G10" s="24">
        <f t="shared" ref="G10:G35" si="0">$G$6*PI()*(D10*E10+D10*D10/4)</f>
        <v>27.883326925466992</v>
      </c>
      <c r="H10" s="22">
        <f>(CFST!$B$4*CFST!$B$17*(A10-CFST!$B$12)*1000/24/60/60+(A10-CFST!$B$11)/(CFST!$B$13/CFST!$B$15/1000+1/6)*PI()*(D10*D10/4+D10*E10)/1000)*$H$6</f>
        <v>-2.4397911059783617</v>
      </c>
      <c r="I10" s="25">
        <f t="shared" ref="I10:I35" si="1">SUM(F10:H10)+F10</f>
        <v>52.961935819488637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0.4441105623120547</v>
      </c>
      <c r="E11" s="21">
        <f>D11*CFST!$D$9</f>
        <v>0.8882211246241094</v>
      </c>
      <c r="F11" s="22">
        <f>B11*CFST!$D$4*'Costing (Temp &amp; RT)'!$F$6</f>
        <v>13.759200000000002</v>
      </c>
      <c r="G11" s="24">
        <f t="shared" si="0"/>
        <v>27.883326925466992</v>
      </c>
      <c r="H11" s="22">
        <f>(CFST!$B$4*CFST!$B$17*(A11-CFST!$B$12)*1000/24/60/60+(A11-CFST!$B$11)/(CFST!$B$13/CFST!$B$15/1000+1/6)*PI()*(D11*D11/4+D11*E11)/1000)*$H$6</f>
        <v>-1.2198955529891808</v>
      </c>
      <c r="I11" s="25">
        <f t="shared" si="1"/>
        <v>54.181831372477816</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0.4441105623120547</v>
      </c>
      <c r="E12" s="21">
        <f>D12*CFST!$D$9</f>
        <v>0.8882211246241094</v>
      </c>
      <c r="F12" s="22">
        <f>B12*CFST!$D$4*'Costing (Temp &amp; RT)'!$F$6</f>
        <v>13.759200000000002</v>
      </c>
      <c r="G12" s="24">
        <f t="shared" si="0"/>
        <v>27.883326925466992</v>
      </c>
      <c r="H12" s="22">
        <f>(CFST!$B$4*CFST!$B$17*(A12-CFST!$B$12)*1000/24/60/60+(A12-CFST!$B$11)/(CFST!$B$13/CFST!$B$15/1000+1/6)*PI()*(D12*D12/4+D12*E12)/1000)*$H$6</f>
        <v>0</v>
      </c>
      <c r="I12" s="25">
        <f t="shared" si="1"/>
        <v>55.401726925466996</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1.5753379830048198</v>
      </c>
      <c r="D13" s="21">
        <f>(4*B13*CFST!$D$4/PI()/CFST!$D$9)^(1/3)</f>
        <v>0.4441105623120547</v>
      </c>
      <c r="E13" s="21">
        <f>D13*CFST!$D$9</f>
        <v>0.8882211246241094</v>
      </c>
      <c r="F13" s="22">
        <f>B13*CFST!$D$4*'Costing (Temp &amp; RT)'!$F$6</f>
        <v>13.759200000000002</v>
      </c>
      <c r="G13" s="24">
        <f t="shared" si="0"/>
        <v>27.883326925466992</v>
      </c>
      <c r="H13" s="22">
        <f>(CFST!$B$4*CFST!$B$17*(A13-CFST!$B$12)*1000/24/60/60+(A13-CFST!$B$11)/(CFST!$B$13/CFST!$B$15/1000+1/6)*PI()*(D13*D13/4+D13*E13)/1000)*$H$6</f>
        <v>1.2198955529891808</v>
      </c>
      <c r="I13" s="25">
        <f t="shared" si="1"/>
        <v>56.621622478456175</v>
      </c>
      <c r="J13" s="26">
        <f>B13*CFST!$D$4*'Costing (Temp &amp; RT)'!C13</f>
        <v>0.2167539037575992</v>
      </c>
      <c r="K13" s="26">
        <f>J13-H13/$H$6/CFST!$B$16*60*60*24/10/CFST!$B$14</f>
        <v>0.13953853688707524</v>
      </c>
      <c r="L13" s="23">
        <f>IF(I13/K13/CFST!$B$40/365&lt;0,0,I13/K13/CFST!$B$40/365)</f>
        <v>5.5585982295066214E-2</v>
      </c>
    </row>
    <row r="14" spans="1:14" x14ac:dyDescent="0.2">
      <c r="A14" s="17">
        <f>'Temp&amp;RT'!C35</f>
        <v>40</v>
      </c>
      <c r="B14" s="17">
        <f>'Temp&amp;RT'!D35</f>
        <v>3.9000000000000004</v>
      </c>
      <c r="C14" s="20">
        <f>'Temp&amp;RT'!G35</f>
        <v>2.6358412650394301</v>
      </c>
      <c r="D14" s="21">
        <f>(4*B14*CFST!$D$4/PI()/CFST!$D$9)^(1/3)</f>
        <v>0.4441105623120547</v>
      </c>
      <c r="E14" s="21">
        <f>D14*CFST!$D$9</f>
        <v>0.8882211246241094</v>
      </c>
      <c r="F14" s="22">
        <f>B14*CFST!$D$4*'Costing (Temp &amp; RT)'!$F$6</f>
        <v>13.759200000000002</v>
      </c>
      <c r="G14" s="24">
        <f t="shared" si="0"/>
        <v>27.883326925466992</v>
      </c>
      <c r="H14" s="22">
        <f>(CFST!$B$4*CFST!$B$17*(A14-CFST!$B$12)*1000/24/60/60+(A14-CFST!$B$11)/(CFST!$B$13/CFST!$B$15/1000+1/6)*PI()*(D14*D14/4+D14*E14)/1000)*$H$6</f>
        <v>2.4397911059783617</v>
      </c>
      <c r="I14" s="25">
        <f t="shared" si="1"/>
        <v>57.841518031445354</v>
      </c>
      <c r="J14" s="26">
        <f>B14*CFST!$D$4*'Costing (Temp &amp; RT)'!C14</f>
        <v>0.36267067133930531</v>
      </c>
      <c r="K14" s="26">
        <f>J14-H14/$H$6/CFST!$B$16*60*60*24/10/CFST!$B$14</f>
        <v>0.20823993759825737</v>
      </c>
      <c r="L14" s="23">
        <f>IF(I14/K14/CFST!$B$40/365&lt;0,0,I14/K14/CFST!$B$40/365)</f>
        <v>3.8049836703429006E-2</v>
      </c>
    </row>
    <row r="15" spans="1:14" x14ac:dyDescent="0.2">
      <c r="A15" s="17">
        <f>'Temp&amp;RT'!C36</f>
        <v>45</v>
      </c>
      <c r="B15" s="17">
        <f>'Temp&amp;RT'!D36</f>
        <v>3.9000000000000004</v>
      </c>
      <c r="C15" s="20">
        <f>'Temp&amp;RT'!G36</f>
        <v>3.1081642023212512</v>
      </c>
      <c r="D15" s="21">
        <f>(4*B15*CFST!$D$4/PI()/CFST!$D$9)^(1/3)</f>
        <v>0.4441105623120547</v>
      </c>
      <c r="E15" s="21">
        <f>D15*CFST!$D$9</f>
        <v>0.8882211246241094</v>
      </c>
      <c r="F15" s="22">
        <f>B15*CFST!$D$4*'Costing (Temp &amp; RT)'!$F$6</f>
        <v>13.759200000000002</v>
      </c>
      <c r="G15" s="24">
        <f t="shared" si="0"/>
        <v>27.883326925466992</v>
      </c>
      <c r="H15" s="22">
        <f>(CFST!$B$4*CFST!$B$17*(A15-CFST!$B$12)*1000/24/60/60+(A15-CFST!$B$11)/(CFST!$B$13/CFST!$B$15/1000+1/6)*PI()*(D15*D15/4+D15*E15)/1000)*$H$6</f>
        <v>3.6596866589675434</v>
      </c>
      <c r="I15" s="25">
        <f t="shared" si="1"/>
        <v>59.06141358443454</v>
      </c>
      <c r="J15" s="26">
        <f>B15*CFST!$D$4*'Costing (Temp &amp; RT)'!C15</f>
        <v>0.42765852892578565</v>
      </c>
      <c r="K15" s="26">
        <f>J15-H15/$H$6/CFST!$B$16*60*60*24/10/CFST!$B$14</f>
        <v>0.19601242831421367</v>
      </c>
      <c r="L15" s="23">
        <f>IF(I15/K15/CFST!$B$40/365&lt;0,0,I15/K15/CFST!$B$40/365)</f>
        <v>4.1275977600961071E-2</v>
      </c>
    </row>
    <row r="16" spans="1:14" x14ac:dyDescent="0.2">
      <c r="A16" s="17">
        <f>'Temp&amp;RT'!C37</f>
        <v>50</v>
      </c>
      <c r="B16" s="17">
        <f>'Temp&amp;RT'!D37</f>
        <v>3.9000000000000004</v>
      </c>
      <c r="C16" s="20">
        <f>'Temp&amp;RT'!G37</f>
        <v>3.3072565783511734</v>
      </c>
      <c r="D16" s="21">
        <f>(4*B16*CFST!$D$4/PI()/CFST!$D$9)^(1/3)</f>
        <v>0.4441105623120547</v>
      </c>
      <c r="E16" s="21">
        <f>D16*CFST!$D$9</f>
        <v>0.8882211246241094</v>
      </c>
      <c r="F16" s="22">
        <f>B16*CFST!$D$4*'Costing (Temp &amp; RT)'!$F$6</f>
        <v>13.759200000000002</v>
      </c>
      <c r="G16" s="24">
        <f t="shared" si="0"/>
        <v>27.883326925466992</v>
      </c>
      <c r="H16" s="22">
        <f>(CFST!$B$4*CFST!$B$17*(A16-CFST!$B$12)*1000/24/60/60+(A16-CFST!$B$11)/(CFST!$B$13/CFST!$B$15/1000+1/6)*PI()*(D16*D16/4+D16*E16)/1000)*$H$6</f>
        <v>4.8795822119567234</v>
      </c>
      <c r="I16" s="25">
        <f t="shared" si="1"/>
        <v>60.281309137423719</v>
      </c>
      <c r="J16" s="26">
        <f>B16*CFST!$D$4*'Costing (Temp &amp; RT)'!C16</f>
        <v>0.45505204712849473</v>
      </c>
      <c r="K16" s="26">
        <f>J16-H16/$H$6/CFST!$B$16*60*60*24/10/CFST!$B$14</f>
        <v>0.14619057964639887</v>
      </c>
      <c r="L16" s="23">
        <f>IF(I16/K16/CFST!$B$40/365&lt;0,0,I16/K16/CFST!$B$40/365)</f>
        <v>5.6485948687271768E-2</v>
      </c>
    </row>
    <row r="17" spans="1:12" x14ac:dyDescent="0.2">
      <c r="A17" s="17">
        <f>'Temp&amp;RT'!C38</f>
        <v>55</v>
      </c>
      <c r="B17" s="17">
        <f>'Temp&amp;RT'!D38</f>
        <v>3.9000000000000004</v>
      </c>
      <c r="C17" s="20">
        <f>'Temp&amp;RT'!G38</f>
        <v>3.3880763723789791</v>
      </c>
      <c r="D17" s="21">
        <f>(4*B17*CFST!$D$4/PI()/CFST!$D$9)^(1/3)</f>
        <v>0.4441105623120547</v>
      </c>
      <c r="E17" s="21">
        <f>D17*CFST!$D$9</f>
        <v>0.8882211246241094</v>
      </c>
      <c r="F17" s="22">
        <f>B17*CFST!$D$4*'Costing (Temp &amp; RT)'!$F$6</f>
        <v>13.759200000000002</v>
      </c>
      <c r="G17" s="24">
        <f t="shared" si="0"/>
        <v>27.883326925466992</v>
      </c>
      <c r="H17" s="22">
        <f>(CFST!$B$4*CFST!$B$17*(A17-CFST!$B$12)*1000/24/60/60+(A17-CFST!$B$11)/(CFST!$B$13/CFST!$B$15/1000+1/6)*PI()*(D17*D17/4+D17*E17)/1000)*$H$6</f>
        <v>6.0994777649459033</v>
      </c>
      <c r="I17" s="25">
        <f t="shared" si="1"/>
        <v>61.501204690412898</v>
      </c>
      <c r="J17" s="26">
        <f>B17*CFST!$D$4*'Costing (Temp &amp; RT)'!C17</f>
        <v>0.46617220422836858</v>
      </c>
      <c r="K17" s="26">
        <f>J17-H17/$H$6/CFST!$B$16*60*60*24/10/CFST!$B$14</f>
        <v>8.0095369875748779E-2</v>
      </c>
      <c r="L17" s="23">
        <f>IF(I17/K17/CFST!$B$40/365&lt;0,0,I17/K17/CFST!$B$40/365)</f>
        <v>0.10518488863213796</v>
      </c>
    </row>
    <row r="18" spans="1:12" x14ac:dyDescent="0.2">
      <c r="A18" s="17">
        <f>'Temp&amp;RT'!C39</f>
        <v>15</v>
      </c>
      <c r="B18" s="17">
        <f>'Temp&amp;RT'!D39</f>
        <v>11.9</v>
      </c>
      <c r="C18" s="20" t="str">
        <f>'Temp&amp;RT'!G39</f>
        <v>WshOut</v>
      </c>
      <c r="D18" s="21">
        <f>(4*B18*CFST!$D$4/PI()/CFST!$D$9)^(1/3)</f>
        <v>0.64414734379246419</v>
      </c>
      <c r="E18" s="21">
        <f>D18*CFST!$D$9</f>
        <v>1.2882946875849284</v>
      </c>
      <c r="F18" s="22">
        <f>B18*CFST!$D$4*'Costing (Temp &amp; RT)'!$F$6</f>
        <v>41.983199999999997</v>
      </c>
      <c r="G18" s="24">
        <f t="shared" si="0"/>
        <v>58.65875310070949</v>
      </c>
      <c r="H18" s="22">
        <f>(CFST!$B$4*CFST!$B$17*(A18-CFST!$B$12)*1000/24/60/60+(A18-CFST!$B$11)/(CFST!$B$13/CFST!$B$15/1000+1/6)*PI()*(D18*D18/4+D18*E18)/1000)*$H$6</f>
        <v>-7.6989613444681204</v>
      </c>
      <c r="I18" s="25">
        <f t="shared" si="1"/>
        <v>134.92619175624137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0.21066357767362723</v>
      </c>
      <c r="D19" s="21">
        <f>(4*B19*CFST!$D$4/PI()/CFST!$D$9)^(1/3)</f>
        <v>0.64414734379246419</v>
      </c>
      <c r="E19" s="21">
        <f>D19*CFST!$D$9</f>
        <v>1.2882946875849284</v>
      </c>
      <c r="F19" s="22">
        <f>B19*CFST!$D$4*'Costing (Temp &amp; RT)'!$F$6</f>
        <v>41.983199999999997</v>
      </c>
      <c r="G19" s="24">
        <f t="shared" si="0"/>
        <v>58.65875310070949</v>
      </c>
      <c r="H19" s="22">
        <f>(CFST!$B$4*CFST!$B$17*(A19-CFST!$B$12)*1000/24/60/60+(A19-CFST!$B$11)/(CFST!$B$13/CFST!$B$15/1000+1/6)*PI()*(D19*D19/4+D19*E19)/1000)*$H$6</f>
        <v>-5.13264089631208</v>
      </c>
      <c r="I19" s="25">
        <f t="shared" si="1"/>
        <v>137.4925122043974</v>
      </c>
      <c r="J19" s="26">
        <f>B19*CFST!$D$4*'Costing (Temp &amp; RT)'!C19</f>
        <v>8.8443311141874259E-2</v>
      </c>
      <c r="K19" s="26">
        <f>J19-H19/$H$6/CFST!$B$16*60*60*24/10/CFST!$B$14</f>
        <v>0.4133225590842653</v>
      </c>
      <c r="L19" s="23">
        <f>IF(I19/K19/CFST!$B$40/365&lt;0,0,I19/K19/CFST!$B$40/365)</f>
        <v>4.5568746004718524E-2</v>
      </c>
    </row>
    <row r="20" spans="1:12" x14ac:dyDescent="0.2">
      <c r="A20" s="17">
        <f>'Temp&amp;RT'!C41</f>
        <v>25</v>
      </c>
      <c r="B20" s="17">
        <f>'Temp&amp;RT'!D41</f>
        <v>11.9</v>
      </c>
      <c r="C20" s="20">
        <f>'Temp&amp;RT'!G41</f>
        <v>0.92419971836569759</v>
      </c>
      <c r="D20" s="21">
        <f>(4*B20*CFST!$D$4/PI()/CFST!$D$9)^(1/3)</f>
        <v>0.64414734379246419</v>
      </c>
      <c r="E20" s="21">
        <f>D20*CFST!$D$9</f>
        <v>1.2882946875849284</v>
      </c>
      <c r="F20" s="22">
        <f>B20*CFST!$D$4*'Costing (Temp &amp; RT)'!$F$6</f>
        <v>41.983199999999997</v>
      </c>
      <c r="G20" s="24">
        <f t="shared" si="0"/>
        <v>58.65875310070949</v>
      </c>
      <c r="H20" s="22">
        <f>(CFST!$B$4*CFST!$B$17*(A20-CFST!$B$12)*1000/24/60/60+(A20-CFST!$B$11)/(CFST!$B$13/CFST!$B$15/1000+1/6)*PI()*(D20*D20/4+D20*E20)/1000)*$H$6</f>
        <v>-2.56632044815604</v>
      </c>
      <c r="I20" s="25">
        <f t="shared" si="1"/>
        <v>140.05883265255346</v>
      </c>
      <c r="J20" s="26">
        <f>B20*CFST!$D$4*'Costing (Temp &amp; RT)'!C20</f>
        <v>0.38800861616090754</v>
      </c>
      <c r="K20" s="26">
        <f>J20-H20/$H$6/CFST!$B$16*60*60*24/10/CFST!$B$14</f>
        <v>0.55044824013210303</v>
      </c>
      <c r="L20" s="23">
        <f>IF(I20/K20/CFST!$B$40/365&lt;0,0,I20/K20/CFST!$B$40/365)</f>
        <v>3.4855486965766992E-2</v>
      </c>
    </row>
    <row r="21" spans="1:12" x14ac:dyDescent="0.2">
      <c r="A21" s="17">
        <f>'Temp&amp;RT'!C42</f>
        <v>30</v>
      </c>
      <c r="B21" s="17">
        <f>'Temp&amp;RT'!D42</f>
        <v>11.9</v>
      </c>
      <c r="C21" s="20">
        <f>'Temp&amp;RT'!G42</f>
        <v>1.2984598128043203</v>
      </c>
      <c r="D21" s="21">
        <f>(4*B21*CFST!$D$4/PI()/CFST!$D$9)^(1/3)</f>
        <v>0.64414734379246419</v>
      </c>
      <c r="E21" s="21">
        <f>D21*CFST!$D$9</f>
        <v>1.2882946875849284</v>
      </c>
      <c r="F21" s="22">
        <f>B21*CFST!$D$4*'Costing (Temp &amp; RT)'!$F$6</f>
        <v>41.983199999999997</v>
      </c>
      <c r="G21" s="24">
        <f t="shared" si="0"/>
        <v>58.65875310070949</v>
      </c>
      <c r="H21" s="22">
        <f>(CFST!$B$4*CFST!$B$17*(A21-CFST!$B$12)*1000/24/60/60+(A21-CFST!$B$11)/(CFST!$B$13/CFST!$B$15/1000+1/6)*PI()*(D21*D21/4+D21*E21)/1000)*$H$6</f>
        <v>0</v>
      </c>
      <c r="I21" s="25">
        <f t="shared" si="1"/>
        <v>142.6251531007095</v>
      </c>
      <c r="J21" s="26">
        <f>B21*CFST!$D$4*'Costing (Temp &amp; RT)'!C21</f>
        <v>0.54513498012926342</v>
      </c>
      <c r="K21" s="26">
        <f>J21-H21/$H$6/CFST!$B$16*60*60*24/10/CFST!$B$14</f>
        <v>0.54513498012926342</v>
      </c>
      <c r="L21" s="23">
        <f>IF(I21/K21/CFST!$B$40/365&lt;0,0,I21/K21/CFST!$B$40/365)</f>
        <v>3.5840100007788582E-2</v>
      </c>
    </row>
    <row r="22" spans="1:12" x14ac:dyDescent="0.2">
      <c r="A22" s="17">
        <f>'Temp&amp;RT'!C43</f>
        <v>35</v>
      </c>
      <c r="B22" s="17">
        <f>'Temp&amp;RT'!D43</f>
        <v>11.9</v>
      </c>
      <c r="C22" s="20">
        <f>'Temp&amp;RT'!G43</f>
        <v>1.4944086545953059</v>
      </c>
      <c r="D22" s="21">
        <f>(4*B22*CFST!$D$4/PI()/CFST!$D$9)^(1/3)</f>
        <v>0.64414734379246419</v>
      </c>
      <c r="E22" s="21">
        <f>D22*CFST!$D$9</f>
        <v>1.2882946875849284</v>
      </c>
      <c r="F22" s="22">
        <f>B22*CFST!$D$4*'Costing (Temp &amp; RT)'!$F$6</f>
        <v>41.983199999999997</v>
      </c>
      <c r="G22" s="24">
        <f t="shared" si="0"/>
        <v>58.65875310070949</v>
      </c>
      <c r="H22" s="22">
        <f>(CFST!$B$4*CFST!$B$17*(A22-CFST!$B$12)*1000/24/60/60+(A22-CFST!$B$11)/(CFST!$B$13/CFST!$B$15/1000+1/6)*PI()*(D22*D22/4+D22*E22)/1000)*$H$6</f>
        <v>2.56632044815604</v>
      </c>
      <c r="I22" s="25">
        <f t="shared" si="1"/>
        <v>145.19147354886553</v>
      </c>
      <c r="J22" s="26">
        <f>B22*CFST!$D$4*'Costing (Temp &amp; RT)'!C22</f>
        <v>0.62740057427605644</v>
      </c>
      <c r="K22" s="26">
        <f>J22-H22/$H$6/CFST!$B$16*60*60*24/10/CFST!$B$14</f>
        <v>0.46496095030486095</v>
      </c>
      <c r="L22" s="23">
        <f>IF(I22/K22/CFST!$B$40/365&lt;0,0,I22/K22/CFST!$B$40/365)</f>
        <v>4.2776157737243539E-2</v>
      </c>
    </row>
    <row r="23" spans="1:12" x14ac:dyDescent="0.2">
      <c r="A23" s="17">
        <f>'Temp&amp;RT'!C44</f>
        <v>40</v>
      </c>
      <c r="B23" s="17">
        <f>'Temp&amp;RT'!D44</f>
        <v>11.9</v>
      </c>
      <c r="C23" s="20">
        <f>'Temp&amp;RT'!G44</f>
        <v>1.5918606711637793</v>
      </c>
      <c r="D23" s="21">
        <f>(4*B23*CFST!$D$4/PI()/CFST!$D$9)^(1/3)</f>
        <v>0.64414734379246419</v>
      </c>
      <c r="E23" s="21">
        <f>D23*CFST!$D$9</f>
        <v>1.2882946875849284</v>
      </c>
      <c r="F23" s="22">
        <f>B23*CFST!$D$4*'Costing (Temp &amp; RT)'!$F$6</f>
        <v>41.983199999999997</v>
      </c>
      <c r="G23" s="24">
        <f t="shared" si="0"/>
        <v>58.65875310070949</v>
      </c>
      <c r="H23" s="22">
        <f>(CFST!$B$4*CFST!$B$17*(A23-CFST!$B$12)*1000/24/60/60+(A23-CFST!$B$11)/(CFST!$B$13/CFST!$B$15/1000+1/6)*PI()*(D23*D23/4+D23*E23)/1000)*$H$6</f>
        <v>5.13264089631208</v>
      </c>
      <c r="I23" s="25">
        <f t="shared" si="1"/>
        <v>147.75779399702157</v>
      </c>
      <c r="J23" s="26">
        <f>B23*CFST!$D$4*'Costing (Temp &amp; RT)'!C23</f>
        <v>0.66831404929603178</v>
      </c>
      <c r="K23" s="26">
        <f>J23-H23/$H$6/CFST!$B$16*60*60*24/10/CFST!$B$14</f>
        <v>0.34343480135364074</v>
      </c>
      <c r="L23" s="23">
        <f>IF(I23/K23/CFST!$B$40/365&lt;0,0,I23/K23/CFST!$B$40/365)</f>
        <v>5.8936350126555286E-2</v>
      </c>
    </row>
    <row r="24" spans="1:12" x14ac:dyDescent="0.2">
      <c r="A24" s="17">
        <f>'Temp&amp;RT'!C45</f>
        <v>45</v>
      </c>
      <c r="B24" s="17">
        <f>'Temp&amp;RT'!D45</f>
        <v>11.9</v>
      </c>
      <c r="C24" s="20">
        <f>'Temp&amp;RT'!G45</f>
        <v>1.63662941157024</v>
      </c>
      <c r="D24" s="21">
        <f>(4*B24*CFST!$D$4/PI()/CFST!$D$9)^(1/3)</f>
        <v>0.64414734379246419</v>
      </c>
      <c r="E24" s="21">
        <f>D24*CFST!$D$9</f>
        <v>1.2882946875849284</v>
      </c>
      <c r="F24" s="22">
        <f>B24*CFST!$D$4*'Costing (Temp &amp; RT)'!$F$6</f>
        <v>41.983199999999997</v>
      </c>
      <c r="G24" s="24">
        <f t="shared" si="0"/>
        <v>58.65875310070949</v>
      </c>
      <c r="H24" s="22">
        <f>(CFST!$B$4*CFST!$B$17*(A24-CFST!$B$12)*1000/24/60/60+(A24-CFST!$B$11)/(CFST!$B$13/CFST!$B$15/1000+1/6)*PI()*(D24*D24/4+D24*E24)/1000)*$H$6</f>
        <v>7.6989613444681204</v>
      </c>
      <c r="I24" s="25">
        <f t="shared" si="1"/>
        <v>150.3241144451776</v>
      </c>
      <c r="J24" s="26">
        <f>B24*CFST!$D$4*'Costing (Temp &amp; RT)'!C24</f>
        <v>0.687109399118357</v>
      </c>
      <c r="K24" s="26">
        <f>J24-H24/$H$6/CFST!$B$16*60*60*24/10/CFST!$B$14</f>
        <v>0.19979052720477047</v>
      </c>
      <c r="L24" s="23">
        <f>IF(I24/K24/CFST!$B$40/365&lt;0,0,I24/K24/CFST!$B$40/365)</f>
        <v>0.10306967368597637</v>
      </c>
    </row>
    <row r="25" spans="1:12" x14ac:dyDescent="0.2">
      <c r="A25" s="17">
        <f>'Temp&amp;RT'!C46</f>
        <v>50</v>
      </c>
      <c r="B25" s="17">
        <f>'Temp&amp;RT'!D46</f>
        <v>11.9</v>
      </c>
      <c r="C25" s="20">
        <f>'Temp&amp;RT'!G46</f>
        <v>1.6557614214676146</v>
      </c>
      <c r="D25" s="21">
        <f>(4*B25*CFST!$D$4/PI()/CFST!$D$9)^(1/3)</f>
        <v>0.64414734379246419</v>
      </c>
      <c r="E25" s="21">
        <f>D25*CFST!$D$9</f>
        <v>1.2882946875849284</v>
      </c>
      <c r="F25" s="22">
        <f>B25*CFST!$D$4*'Costing (Temp &amp; RT)'!$F$6</f>
        <v>41.983199999999997</v>
      </c>
      <c r="G25" s="24">
        <f t="shared" si="0"/>
        <v>58.65875310070949</v>
      </c>
      <c r="H25" s="22">
        <f>(CFST!$B$4*CFST!$B$17*(A25-CFST!$B$12)*1000/24/60/60+(A25-CFST!$B$11)/(CFST!$B$13/CFST!$B$15/1000+1/6)*PI()*(D25*D25/4+D25*E25)/1000)*$H$6</f>
        <v>10.26528179262416</v>
      </c>
      <c r="I25" s="25">
        <f t="shared" si="1"/>
        <v>152.89043489333363</v>
      </c>
      <c r="J25" s="26">
        <f>B25*CFST!$D$4*'Costing (Temp &amp; RT)'!C25</f>
        <v>0.69514162909759158</v>
      </c>
      <c r="K25" s="26">
        <f>J25-H25/$H$6/CFST!$B$16*60*60*24/10/CFST!$B$14</f>
        <v>4.5383133212809512E-2</v>
      </c>
      <c r="L25" s="23">
        <f>IF(I25/K25/CFST!$B$40/365&lt;0,0,I25/K25/CFST!$B$40/365)</f>
        <v>0.46149072812267072</v>
      </c>
    </row>
    <row r="26" spans="1:12" x14ac:dyDescent="0.2">
      <c r="A26" s="17">
        <f>'Temp&amp;RT'!C47</f>
        <v>55</v>
      </c>
      <c r="B26" s="17">
        <f>'Temp&amp;RT'!D47</f>
        <v>11.9</v>
      </c>
      <c r="C26" s="20">
        <f>'Temp&amp;RT'!G47</f>
        <v>1.6635727838635299</v>
      </c>
      <c r="D26" s="21">
        <f>(4*B26*CFST!$D$4/PI()/CFST!$D$9)^(1/3)</f>
        <v>0.64414734379246419</v>
      </c>
      <c r="E26" s="21">
        <f>D26*CFST!$D$9</f>
        <v>1.2882946875849284</v>
      </c>
      <c r="F26" s="22">
        <f>B26*CFST!$D$4*'Costing (Temp &amp; RT)'!$F$6</f>
        <v>41.983199999999997</v>
      </c>
      <c r="G26" s="24">
        <f t="shared" si="0"/>
        <v>58.65875310070949</v>
      </c>
      <c r="H26" s="22">
        <f>(CFST!$B$4*CFST!$B$17*(A26-CFST!$B$12)*1000/24/60/60+(A26-CFST!$B$11)/(CFST!$B$13/CFST!$B$15/1000+1/6)*PI()*(D26*D26/4+D26*E26)/1000)*$H$6</f>
        <v>12.8316022407802</v>
      </c>
      <c r="I26" s="25">
        <f t="shared" si="1"/>
        <v>155.45675534148967</v>
      </c>
      <c r="J26" s="26">
        <f>B26*CFST!$D$4*'Costing (Temp &amp; RT)'!C26</f>
        <v>0.69842108899499344</v>
      </c>
      <c r="K26" s="26">
        <f>J26-H26/$H$6/CFST!$B$16*60*60*24/10/CFST!$B$14</f>
        <v>-0.11377703086098401</v>
      </c>
      <c r="L26" s="23">
        <f>IF(I26/K26/CFST!$B$40/365&lt;0,0,I26/K26/CFST!$B$40/365)</f>
        <v>0</v>
      </c>
    </row>
    <row r="27" spans="1:12" x14ac:dyDescent="0.2">
      <c r="A27" s="17">
        <f>'Temp&amp;RT'!C48</f>
        <v>15</v>
      </c>
      <c r="B27" s="17">
        <f>'Temp&amp;RT'!D48</f>
        <v>19.899999999999999</v>
      </c>
      <c r="C27" s="20">
        <f>'Temp&amp;RT'!G48</f>
        <v>0.14424164402153863</v>
      </c>
      <c r="D27" s="21">
        <f>(4*B27*CFST!$D$4/PI()/CFST!$D$9)^(1/3)</f>
        <v>0.76457587769830437</v>
      </c>
      <c r="E27" s="21">
        <f>D27*CFST!$D$9</f>
        <v>1.5291517553966087</v>
      </c>
      <c r="F27" s="22">
        <f>B27*CFST!$D$4*'Costing (Temp &amp; RT)'!$F$6</f>
        <v>70.207199999999986</v>
      </c>
      <c r="G27" s="24">
        <f t="shared" si="0"/>
        <v>82.642523578193348</v>
      </c>
      <c r="H27" s="22">
        <f>(CFST!$B$4*CFST!$B$17*(A27-CFST!$B$12)*1000/24/60/60+(A27-CFST!$B$11)/(CFST!$B$13/CFST!$B$15/1000+1/6)*PI()*(D27*D27/4+D27*E27)/1000)*$H$6</f>
        <v>-10.846831219637878</v>
      </c>
      <c r="I27" s="25">
        <f t="shared" si="1"/>
        <v>212.21009235855547</v>
      </c>
      <c r="J27" s="26">
        <f>B27*CFST!$D$4*'Costing (Temp &amp; RT)'!C27</f>
        <v>0.10126801950148966</v>
      </c>
      <c r="K27" s="26">
        <f>J27-H27/$H$6/CFST!$B$16*60*60*24/10/CFST!$B$14</f>
        <v>0.78783667692032677</v>
      </c>
      <c r="L27" s="23">
        <f>IF(I27/K27/CFST!$B$40/365&lt;0,0,I27/K27/CFST!$B$40/365)</f>
        <v>3.6898352814939278E-2</v>
      </c>
    </row>
    <row r="28" spans="1:12" x14ac:dyDescent="0.2">
      <c r="A28" s="17">
        <f>'Temp&amp;RT'!C49</f>
        <v>20</v>
      </c>
      <c r="B28" s="17">
        <f>'Temp&amp;RT'!D49</f>
        <v>19.899999999999999</v>
      </c>
      <c r="C28" s="20">
        <f>'Temp&amp;RT'!G49</f>
        <v>0.57386375276242707</v>
      </c>
      <c r="D28" s="21">
        <f>(4*B28*CFST!$D$4/PI()/CFST!$D$9)^(1/3)</f>
        <v>0.76457587769830437</v>
      </c>
      <c r="E28" s="21">
        <f>D28*CFST!$D$9</f>
        <v>1.5291517553966087</v>
      </c>
      <c r="F28" s="22">
        <f>B28*CFST!$D$4*'Costing (Temp &amp; RT)'!$F$6</f>
        <v>70.207199999999986</v>
      </c>
      <c r="G28" s="24">
        <f t="shared" si="0"/>
        <v>82.642523578193348</v>
      </c>
      <c r="H28" s="22">
        <f>(CFST!$B$4*CFST!$B$17*(A28-CFST!$B$12)*1000/24/60/60+(A28-CFST!$B$11)/(CFST!$B$13/CFST!$B$15/1000+1/6)*PI()*(D28*D28/4+D28*E28)/1000)*$H$6</f>
        <v>-7.2312208130919178</v>
      </c>
      <c r="I28" s="25">
        <f t="shared" si="1"/>
        <v>215.82570276510143</v>
      </c>
      <c r="J28" s="26">
        <f>B28*CFST!$D$4*'Costing (Temp &amp; RT)'!C28</f>
        <v>0.40289367262942266</v>
      </c>
      <c r="K28" s="26">
        <f>J28-H28/$H$6/CFST!$B$16*60*60*24/10/CFST!$B$14</f>
        <v>0.86060611090864736</v>
      </c>
      <c r="L28" s="23">
        <f>IF(I28/K28/CFST!$B$40/365&lt;0,0,I28/K28/CFST!$B$40/365)</f>
        <v>3.4353886624308411E-2</v>
      </c>
    </row>
    <row r="29" spans="1:12" x14ac:dyDescent="0.2">
      <c r="A29" s="17">
        <f>'Temp&amp;RT'!C50</f>
        <v>25</v>
      </c>
      <c r="B29" s="17">
        <f>'Temp&amp;RT'!D50</f>
        <v>19.899999999999999</v>
      </c>
      <c r="C29" s="20">
        <f>'Temp&amp;RT'!G50</f>
        <v>0.80383828024901494</v>
      </c>
      <c r="D29" s="21">
        <f>(4*B29*CFST!$D$4/PI()/CFST!$D$9)^(1/3)</f>
        <v>0.76457587769830437</v>
      </c>
      <c r="E29" s="21">
        <f>D29*CFST!$D$9</f>
        <v>1.5291517553966087</v>
      </c>
      <c r="F29" s="22">
        <f>B29*CFST!$D$4*'Costing (Temp &amp; RT)'!$F$6</f>
        <v>70.207199999999986</v>
      </c>
      <c r="G29" s="24">
        <f t="shared" si="0"/>
        <v>82.642523578193348</v>
      </c>
      <c r="H29" s="22">
        <f>(CFST!$B$4*CFST!$B$17*(A29-CFST!$B$12)*1000/24/60/60+(A29-CFST!$B$11)/(CFST!$B$13/CFST!$B$15/1000+1/6)*PI()*(D29*D29/4+D29*E29)/1000)*$H$6</f>
        <v>-3.6156104065459589</v>
      </c>
      <c r="I29" s="25">
        <f t="shared" si="1"/>
        <v>219.44131317164738</v>
      </c>
      <c r="J29" s="26">
        <f>B29*CFST!$D$4*'Costing (Temp &amp; RT)'!C29</f>
        <v>0.5643523490909863</v>
      </c>
      <c r="K29" s="26">
        <f>J29-H29/$H$6/CFST!$B$16*60*60*24/10/CFST!$B$14</f>
        <v>0.79320856823059871</v>
      </c>
      <c r="L29" s="23">
        <f>IF(I29/K29/CFST!$B$40/365&lt;0,0,I29/K29/CFST!$B$40/365)</f>
        <v>3.7897288384296311E-2</v>
      </c>
    </row>
    <row r="30" spans="1:12" x14ac:dyDescent="0.2">
      <c r="A30" s="17">
        <f>'Temp&amp;RT'!C51</f>
        <v>30</v>
      </c>
      <c r="B30" s="17">
        <f>'Temp&amp;RT'!D51</f>
        <v>19.899999999999999</v>
      </c>
      <c r="C30" s="20">
        <f>'Temp&amp;RT'!G51</f>
        <v>0.9295467397367444</v>
      </c>
      <c r="D30" s="21">
        <f>(4*B30*CFST!$D$4/PI()/CFST!$D$9)^(1/3)</f>
        <v>0.76457587769830437</v>
      </c>
      <c r="E30" s="21">
        <f>D30*CFST!$D$9</f>
        <v>1.5291517553966087</v>
      </c>
      <c r="F30" s="22">
        <f>B30*CFST!$D$4*'Costing (Temp &amp; RT)'!$F$6</f>
        <v>70.207199999999986</v>
      </c>
      <c r="G30" s="24">
        <f t="shared" si="0"/>
        <v>82.642523578193348</v>
      </c>
      <c r="H30" s="22">
        <f>(CFST!$B$4*CFST!$B$17*(A30-CFST!$B$12)*1000/24/60/60+(A30-CFST!$B$11)/(CFST!$B$13/CFST!$B$15/1000+1/6)*PI()*(D30*D30/4+D30*E30)/1000)*$H$6</f>
        <v>0</v>
      </c>
      <c r="I30" s="25">
        <f t="shared" si="1"/>
        <v>223.05692357819333</v>
      </c>
      <c r="J30" s="26">
        <f>B30*CFST!$D$4*'Costing (Temp &amp; RT)'!C30</f>
        <v>0.65260873866045555</v>
      </c>
      <c r="K30" s="26">
        <f>J30-H30/$H$6/CFST!$B$16*60*60*24/10/CFST!$B$14</f>
        <v>0.65260873866045555</v>
      </c>
      <c r="L30" s="23">
        <f>IF(I30/K30/CFST!$B$40/365&lt;0,0,I30/K30/CFST!$B$40/365)</f>
        <v>4.6820922163309672E-2</v>
      </c>
    </row>
    <row r="31" spans="1:12" x14ac:dyDescent="0.2">
      <c r="A31" s="17">
        <f>'Temp&amp;RT'!C52</f>
        <v>35</v>
      </c>
      <c r="B31" s="17">
        <f>'Temp&amp;RT'!D52</f>
        <v>19.899999999999999</v>
      </c>
      <c r="C31" s="20">
        <f>'Temp&amp;RT'!G52</f>
        <v>0.99682812374161855</v>
      </c>
      <c r="D31" s="21">
        <f>(4*B31*CFST!$D$4/PI()/CFST!$D$9)^(1/3)</f>
        <v>0.76457587769830437</v>
      </c>
      <c r="E31" s="21">
        <f>D31*CFST!$D$9</f>
        <v>1.5291517553966087</v>
      </c>
      <c r="F31" s="22">
        <f>B31*CFST!$D$4*'Costing (Temp &amp; RT)'!$F$6</f>
        <v>70.207199999999986</v>
      </c>
      <c r="G31" s="24">
        <f t="shared" si="0"/>
        <v>82.642523578193348</v>
      </c>
      <c r="H31" s="22">
        <f>(CFST!$B$4*CFST!$B$17*(A31-CFST!$B$12)*1000/24/60/60+(A31-CFST!$B$11)/(CFST!$B$13/CFST!$B$15/1000+1/6)*PI()*(D31*D31/4+D31*E31)/1000)*$H$6</f>
        <v>3.6156104065459589</v>
      </c>
      <c r="I31" s="25">
        <f t="shared" si="1"/>
        <v>226.67253398473929</v>
      </c>
      <c r="J31" s="26">
        <f>B31*CFST!$D$4*'Costing (Temp &amp; RT)'!C31</f>
        <v>0.69984511449152553</v>
      </c>
      <c r="K31" s="26">
        <f>J31-H31/$H$6/CFST!$B$16*60*60*24/10/CFST!$B$14</f>
        <v>0.47098889535191318</v>
      </c>
      <c r="L31" s="23">
        <f>IF(I31/K31/CFST!$B$40/365&lt;0,0,I31/K31/CFST!$B$40/365)</f>
        <v>6.5927312425281964E-2</v>
      </c>
    </row>
    <row r="32" spans="1:12" x14ac:dyDescent="0.2">
      <c r="A32" s="17">
        <f>'Temp&amp;RT'!C53</f>
        <v>40</v>
      </c>
      <c r="B32" s="17">
        <f>'Temp&amp;RT'!D53</f>
        <v>19.899999999999999</v>
      </c>
      <c r="C32" s="20">
        <f>'Temp&amp;RT'!G53</f>
        <v>1.0306741619715789</v>
      </c>
      <c r="D32" s="21">
        <f>(4*B32*CFST!$D$4/PI()/CFST!$D$9)^(1/3)</f>
        <v>0.76457587769830437</v>
      </c>
      <c r="E32" s="21">
        <f>D32*CFST!$D$9</f>
        <v>1.5291517553966087</v>
      </c>
      <c r="F32" s="22">
        <f>B32*CFST!$D$4*'Costing (Temp &amp; RT)'!$F$6</f>
        <v>70.207199999999986</v>
      </c>
      <c r="G32" s="24">
        <f t="shared" si="0"/>
        <v>82.642523578193348</v>
      </c>
      <c r="H32" s="22">
        <f>(CFST!$B$4*CFST!$B$17*(A32-CFST!$B$12)*1000/24/60/60+(A32-CFST!$B$11)/(CFST!$B$13/CFST!$B$15/1000+1/6)*PI()*(D32*D32/4+D32*E32)/1000)*$H$6</f>
        <v>7.2312208130919178</v>
      </c>
      <c r="I32" s="25">
        <f t="shared" si="1"/>
        <v>230.28814439128524</v>
      </c>
      <c r="J32" s="26">
        <f>B32*CFST!$D$4*'Costing (Temp &amp; RT)'!C32</f>
        <v>0.7236074702437103</v>
      </c>
      <c r="K32" s="26">
        <f>J32-H32/$H$6/CFST!$B$16*60*60*24/10/CFST!$B$14</f>
        <v>0.26589503196448561</v>
      </c>
      <c r="L32" s="23">
        <f>IF(I32/K32/CFST!$B$40/365&lt;0,0,I32/K32/CFST!$B$40/365)</f>
        <v>0.11864201040696626</v>
      </c>
    </row>
    <row r="33" spans="1:12" x14ac:dyDescent="0.2">
      <c r="A33" s="17">
        <f>'Temp&amp;RT'!C54</f>
        <v>45</v>
      </c>
      <c r="B33" s="17">
        <f>'Temp&amp;RT'!D54</f>
        <v>19.899999999999999</v>
      </c>
      <c r="C33" s="20">
        <f>'Temp&amp;RT'!G54</f>
        <v>1.0463095908689115</v>
      </c>
      <c r="D33" s="21">
        <f>(4*B33*CFST!$D$4/PI()/CFST!$D$9)^(1/3)</f>
        <v>0.76457587769830437</v>
      </c>
      <c r="E33" s="21">
        <f>D33*CFST!$D$9</f>
        <v>1.5291517553966087</v>
      </c>
      <c r="F33" s="22">
        <f>B33*CFST!$D$4*'Costing (Temp &amp; RT)'!$F$6</f>
        <v>70.207199999999986</v>
      </c>
      <c r="G33" s="24">
        <f t="shared" si="0"/>
        <v>82.642523578193348</v>
      </c>
      <c r="H33" s="22">
        <f>(CFST!$B$4*CFST!$B$17*(A33-CFST!$B$12)*1000/24/60/60+(A33-CFST!$B$11)/(CFST!$B$13/CFST!$B$15/1000+1/6)*PI()*(D33*D33/4+D33*E33)/1000)*$H$6</f>
        <v>10.846831219637878</v>
      </c>
      <c r="I33" s="25">
        <f t="shared" si="1"/>
        <v>233.9037547978312</v>
      </c>
      <c r="J33" s="26">
        <f>B33*CFST!$D$4*'Costing (Temp &amp; RT)'!C33</f>
        <v>0.73458466708051839</v>
      </c>
      <c r="K33" s="26">
        <f>J33-H33/$H$6/CFST!$B$16*60*60*24/10/CFST!$B$14</f>
        <v>4.8016009661681291E-2</v>
      </c>
      <c r="L33" s="23">
        <f>IF(I33/K33/CFST!$B$40/365&lt;0,0,I33/K33/CFST!$B$40/365)</f>
        <v>0.6673109754859271</v>
      </c>
    </row>
    <row r="34" spans="1:12" x14ac:dyDescent="0.2">
      <c r="A34" s="17">
        <f>'Temp&amp;RT'!C55</f>
        <v>50</v>
      </c>
      <c r="B34" s="17">
        <f>'Temp&amp;RT'!D55</f>
        <v>19.899999999999999</v>
      </c>
      <c r="C34" s="20">
        <f>'Temp&amp;RT'!G55</f>
        <v>1.053008196151884</v>
      </c>
      <c r="D34" s="21">
        <f>(4*B34*CFST!$D$4/PI()/CFST!$D$9)^(1/3)</f>
        <v>0.76457587769830437</v>
      </c>
      <c r="E34" s="21">
        <f>D34*CFST!$D$9</f>
        <v>1.5291517553966087</v>
      </c>
      <c r="F34" s="22">
        <f>B34*CFST!$D$4*'Costing (Temp &amp; RT)'!$F$6</f>
        <v>70.207199999999986</v>
      </c>
      <c r="G34" s="24">
        <f t="shared" si="0"/>
        <v>82.642523578193348</v>
      </c>
      <c r="H34" s="22">
        <f>(CFST!$B$4*CFST!$B$17*(A34-CFST!$B$12)*1000/24/60/60+(A34-CFST!$B$11)/(CFST!$B$13/CFST!$B$15/1000+1/6)*PI()*(D34*D34/4+D34*E34)/1000)*$H$6</f>
        <v>14.462441626183836</v>
      </c>
      <c r="I34" s="25">
        <f t="shared" si="1"/>
        <v>237.51936520437715</v>
      </c>
      <c r="J34" s="26">
        <f>B34*CFST!$D$4*'Costing (Temp &amp; RT)'!C34</f>
        <v>0.73928757028874548</v>
      </c>
      <c r="K34" s="26">
        <f>J34-H34/$H$6/CFST!$B$16*60*60*24/10/CFST!$B$14</f>
        <v>-0.17613730626970392</v>
      </c>
      <c r="L34" s="23">
        <f>IF(I34/K34/CFST!$B$40/365&lt;0,0,I34/K34/CFST!$B$40/365)</f>
        <v>0</v>
      </c>
    </row>
    <row r="35" spans="1:12" x14ac:dyDescent="0.2">
      <c r="A35" s="17">
        <f>'Temp&amp;RT'!C56</f>
        <v>55</v>
      </c>
      <c r="B35" s="17">
        <f>'Temp&amp;RT'!D56</f>
        <v>19.899999999999999</v>
      </c>
      <c r="C35" s="20">
        <f>'Temp&amp;RT'!G56</f>
        <v>1.0557460493998676</v>
      </c>
      <c r="D35" s="21">
        <f>(4*B35*CFST!$D$4/PI()/CFST!$D$9)^(1/3)</f>
        <v>0.76457587769830437</v>
      </c>
      <c r="E35" s="21">
        <f>D35*CFST!$D$9</f>
        <v>1.5291517553966087</v>
      </c>
      <c r="F35" s="22">
        <f>B35*CFST!$D$4*'Costing (Temp &amp; RT)'!$F$6</f>
        <v>70.207199999999986</v>
      </c>
      <c r="G35" s="24">
        <f t="shared" si="0"/>
        <v>82.642523578193348</v>
      </c>
      <c r="H35" s="22">
        <f>(CFST!$B$4*CFST!$B$17*(A35-CFST!$B$12)*1000/24/60/60+(A35-CFST!$B$11)/(CFST!$B$13/CFST!$B$15/1000+1/6)*PI()*(D35*D35/4+D35*E35)/1000)*$H$6</f>
        <v>18.078052032729794</v>
      </c>
      <c r="I35" s="25">
        <f t="shared" si="1"/>
        <v>241.13497561092311</v>
      </c>
      <c r="J35" s="26">
        <f>B35*CFST!$D$4*'Costing (Temp &amp; RT)'!C35</f>
        <v>0.74120974039426379</v>
      </c>
      <c r="K35" s="26">
        <f>J35-H35/$H$6/CFST!$B$16*60*60*24/10/CFST!$B$14</f>
        <v>-0.40307135530379801</v>
      </c>
      <c r="L35" s="23">
        <f>IF(I35/K35/CFST!$B$40/365&lt;0,0,I35/K35/CFST!$B$40/365)</f>
        <v>0</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2" t="s">
        <v>279</v>
      </c>
    </row>
    <row r="2" spans="1:7" ht="18" x14ac:dyDescent="0.25">
      <c r="A2" s="15"/>
      <c r="D2" s="212"/>
    </row>
    <row r="3" spans="1:7" x14ac:dyDescent="0.2">
      <c r="A3" t="s">
        <v>272</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1.2986455718632044</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Instructions</vt:lpstr>
      <vt:lpstr>Calculator</vt:lpstr>
      <vt:lpstr>ResponseSurfaceVSRT</vt:lpstr>
      <vt:lpstr>ResponseSurfaceTempRT</vt:lpstr>
      <vt:lpstr>Temp&amp;RT</vt:lpstr>
      <vt:lpstr>VS&amp;RT</vt:lpstr>
      <vt:lpstr>Temp&amp;VS</vt:lpstr>
      <vt:lpstr>RT&amp;Temp</vt:lpstr>
      <vt:lpstr>CFST</vt:lpstr>
      <vt:lpstr>PlugFlow</vt:lpstr>
      <vt:lpstr>Costing (Temp &amp; RT)</vt:lpstr>
      <vt:lpstr>Energy Costs</vt:lpstr>
      <vt:lpstr>Calculator!Print_Area</vt:lpstr>
      <vt:lpstr>CFST!Print_Area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2016-07-29T17:26:42Z</dcterms:modified>
</cp:coreProperties>
</file>